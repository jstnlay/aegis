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08" windowWidth="23256" windowHeight="12576" tabRatio="600" firstSheet="0" activeTab="1" autoFilterDateGrouping="1"/>
  </bookViews>
  <sheets>
    <sheet name="COVER" sheetId="1" state="visible" r:id="rId1"/>
    <sheet name="SF2-JHS" sheetId="2" state="visible" r:id="rId2"/>
  </sheets>
  <definedNames/>
  <calcPr calcId="191029" fullCalcOnLoad="1"/>
</workbook>
</file>

<file path=xl/styles.xml><?xml version="1.0" encoding="utf-8"?>
<styleSheet xmlns="http://schemas.openxmlformats.org/spreadsheetml/2006/main">
  <numFmts count="2">
    <numFmt numFmtId="164" formatCode="#.###"/>
    <numFmt numFmtId="165" formatCode="#"/>
  </numFmts>
  <fonts count="28">
    <font>
      <name val="Arial"/>
      <sz val="10"/>
    </font>
    <font>
      <name val="SansSerif"/>
      <b val="1"/>
      <color indexed="72"/>
      <sz val="13"/>
    </font>
    <font>
      <name val="SansSerif"/>
      <i val="1"/>
      <color indexed="72"/>
      <sz val="5"/>
    </font>
    <font>
      <name val="SansSerif"/>
      <color indexed="72"/>
      <sz val="6"/>
    </font>
    <font>
      <name val="SansSerif"/>
      <sz val="9"/>
    </font>
    <font>
      <name val="SansSerif"/>
      <color indexed="72"/>
      <sz val="8"/>
    </font>
    <font>
      <name val="SansSerif"/>
      <b val="1"/>
      <color indexed="72"/>
      <sz val="6"/>
    </font>
    <font>
      <name val="SansSerif"/>
      <b val="1"/>
      <color indexed="72"/>
      <sz val="8"/>
    </font>
    <font>
      <name val="SansSerif"/>
      <b val="1"/>
      <color indexed="72"/>
      <sz val="5"/>
    </font>
    <font>
      <name val="SansSerif"/>
      <color indexed="72"/>
      <sz val="9"/>
    </font>
    <font>
      <name val="SansSerif"/>
      <color indexed="72"/>
      <sz val="7"/>
    </font>
    <font>
      <name val="Arial Narrow"/>
      <b val="1"/>
      <color indexed="72"/>
      <sz val="5"/>
    </font>
    <font>
      <name val="SansSerif"/>
      <color indexed="72"/>
      <sz val="5"/>
    </font>
    <font>
      <name val="SansSerif"/>
      <b val="1"/>
      <i val="1"/>
      <color indexed="72"/>
      <sz val="5"/>
    </font>
    <font>
      <name val="SansSerif"/>
      <i val="1"/>
      <color indexed="72"/>
      <sz val="8"/>
    </font>
    <font>
      <name val="Calibri"/>
      <family val="2"/>
      <color theme="1"/>
      <sz val="18"/>
      <scheme val="minor"/>
    </font>
    <font>
      <name val="Calibri"/>
      <family val="2"/>
      <color theme="1"/>
      <sz val="9"/>
      <scheme val="minor"/>
    </font>
    <font>
      <name val="Arial"/>
      <family val="2"/>
      <sz val="6"/>
    </font>
    <font>
      <name val="SansSerif"/>
      <b val="1"/>
      <sz val="9"/>
    </font>
    <font>
      <name val="SansSerif"/>
      <b val="1"/>
      <sz val="8"/>
    </font>
    <font>
      <name val="SansSerif"/>
      <sz val="8"/>
    </font>
    <font>
      <name val="Tahoma"/>
      <family val="2"/>
      <color indexed="81"/>
      <sz val="9"/>
    </font>
    <font>
      <name val="Tahoma"/>
      <family val="2"/>
      <b val="1"/>
      <color indexed="81"/>
      <sz val="9"/>
    </font>
    <font>
      <name val="Calibri"/>
      <family val="2"/>
      <color rgb="FF006100"/>
      <sz val="11"/>
      <scheme val="minor"/>
    </font>
    <font>
      <name val="Calibri"/>
      <family val="2"/>
      <color theme="1"/>
      <sz val="8"/>
      <scheme val="minor"/>
    </font>
    <font>
      <name val="Arial"/>
      <family val="2"/>
      <color theme="10"/>
      <sz val="10"/>
      <u val="single"/>
    </font>
    <font>
      <name val="Arial"/>
      <family val="2"/>
      <sz val="16"/>
    </font>
    <font>
      <name val="Arial"/>
      <family val="2"/>
      <color theme="10"/>
      <sz val="16"/>
      <u val="single"/>
    </font>
  </fonts>
  <fills count="4">
    <fill>
      <patternFill/>
    </fill>
    <fill>
      <patternFill patternType="gray125"/>
    </fill>
    <fill>
      <patternFill patternType="solid">
        <fgColor indexed="9"/>
        <bgColor indexed="64"/>
      </patternFill>
    </fill>
    <fill>
      <patternFill patternType="solid">
        <fgColor rgb="FFC6EFCE"/>
      </patternFill>
    </fill>
  </fills>
  <borders count="82">
    <border>
      <left/>
      <right/>
      <top/>
      <bottom/>
      <diagonal/>
    </border>
    <border>
      <left style="thin">
        <color indexed="8"/>
      </left>
      <right style="thin">
        <color indexed="8"/>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style="thin">
        <color indexed="8"/>
      </right>
      <top/>
      <bottom/>
      <diagonal/>
    </border>
    <border>
      <left/>
      <right/>
      <top/>
      <bottom style="thin">
        <color indexed="8"/>
      </bottom>
      <diagonal/>
    </border>
    <border>
      <left style="medium">
        <color indexed="8"/>
      </left>
      <right style="thin">
        <color indexed="8"/>
      </right>
      <top style="thin">
        <color indexed="8"/>
      </top>
      <bottom/>
      <diagonal/>
    </border>
    <border>
      <left style="medium">
        <color indexed="8"/>
      </left>
      <right style="thin">
        <color indexed="8"/>
      </right>
      <top/>
      <bottom style="medium">
        <color indexed="8"/>
      </bottom>
      <diagonal/>
    </border>
    <border>
      <left/>
      <right/>
      <top/>
      <bottom style="medium">
        <color indexed="8"/>
      </bottom>
      <diagonal/>
    </border>
    <border>
      <left style="thin">
        <color indexed="8"/>
      </left>
      <right style="thin">
        <color indexed="8"/>
      </right>
      <top/>
      <bottom style="thin">
        <color indexed="8"/>
      </bottom>
      <diagonal/>
    </border>
    <border>
      <left/>
      <right/>
      <top style="medium">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style="medium">
        <color indexed="8"/>
      </top>
      <bottom/>
      <diagonal/>
    </border>
    <border>
      <left style="medium">
        <color indexed="8"/>
      </left>
      <right/>
      <top/>
      <bottom style="medium">
        <color indexed="8"/>
      </bottom>
      <diagonal/>
    </border>
    <border>
      <left style="medium">
        <color indexed="8"/>
      </left>
      <right/>
      <top/>
      <bottom/>
      <diagonal/>
    </border>
    <border>
      <left/>
      <right style="medium">
        <color indexed="8"/>
      </right>
      <top style="medium">
        <color indexed="8"/>
      </top>
      <bottom/>
      <diagonal/>
    </border>
    <border>
      <left/>
      <right style="medium">
        <color indexed="8"/>
      </right>
      <top/>
      <bottom/>
      <diagonal/>
    </border>
    <border>
      <left/>
      <right style="medium">
        <color indexed="8"/>
      </right>
      <top/>
      <bottom style="medium">
        <color indexed="8"/>
      </bottom>
      <diagonal/>
    </border>
    <border>
      <left/>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8"/>
      </right>
      <top style="thin">
        <color indexed="8"/>
      </top>
      <bottom style="thin">
        <color indexed="8"/>
      </bottom>
      <diagonal/>
    </border>
    <border>
      <left style="thin">
        <color indexed="8"/>
      </left>
      <right/>
      <top style="double">
        <color indexed="8"/>
      </top>
      <bottom style="medium">
        <color indexed="8"/>
      </bottom>
      <diagonal/>
    </border>
    <border>
      <left/>
      <right/>
      <top style="double">
        <color indexed="8"/>
      </top>
      <bottom style="medium">
        <color indexed="8"/>
      </bottom>
      <diagonal/>
    </border>
    <border>
      <left/>
      <right style="thin">
        <color indexed="8"/>
      </right>
      <top style="double">
        <color indexed="8"/>
      </top>
      <bottom style="medium">
        <color indexed="8"/>
      </bottom>
      <diagonal/>
    </border>
    <border>
      <left/>
      <right style="medium">
        <color indexed="8"/>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top/>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right style="medium">
        <color indexed="8"/>
      </right>
      <top style="thin">
        <color indexed="8"/>
      </top>
      <bottom/>
      <diagonal/>
    </border>
    <border>
      <left/>
      <right style="medium">
        <color indexed="8"/>
      </right>
      <top/>
      <bottom style="thin">
        <color indexed="8"/>
      </bottom>
      <diagonal/>
    </border>
    <border>
      <left/>
      <right style="thin">
        <color indexed="9"/>
      </right>
      <top/>
      <bottom/>
      <diagonal/>
    </border>
    <border>
      <left style="medium">
        <color indexed="8"/>
      </left>
      <right/>
      <top style="thin">
        <color indexed="8"/>
      </top>
      <bottom/>
      <diagonal/>
    </border>
    <border>
      <left/>
      <right/>
      <top style="thin">
        <color indexed="9"/>
      </top>
      <bottom/>
      <diagonal/>
    </border>
    <border>
      <left/>
      <right/>
      <top/>
      <bottom style="thin">
        <color indexed="9"/>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thin">
        <color indexed="8"/>
      </left>
      <right style="medium">
        <color indexed="8"/>
      </right>
      <top style="thin">
        <color indexed="8"/>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64"/>
      </left>
      <right style="thin">
        <color indexed="8"/>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right style="thin">
        <color indexed="8"/>
      </right>
      <top style="medium">
        <color indexed="8"/>
      </top>
      <bottom style="medium">
        <color indexed="8"/>
      </bottom>
      <diagonal/>
    </border>
    <border>
      <left/>
      <right style="thin">
        <color indexed="8"/>
      </right>
      <top style="medium">
        <color indexed="8"/>
      </top>
      <bottom/>
      <diagonal/>
    </border>
    <border>
      <left/>
      <right/>
      <top style="medium">
        <color indexed="64"/>
      </top>
      <bottom/>
      <diagonal/>
    </border>
    <border>
      <left/>
      <right style="medium">
        <color indexed="64"/>
      </right>
      <top style="medium">
        <color indexed="64"/>
      </top>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double">
        <color indexed="8"/>
      </top>
      <bottom style="medium">
        <color indexed="8"/>
      </bottom>
      <diagonal/>
    </border>
    <border>
      <left/>
      <right/>
      <top style="double">
        <color indexed="8"/>
      </top>
      <bottom/>
      <diagonal/>
    </border>
    <border>
      <left/>
      <right style="thin">
        <color indexed="8"/>
      </right>
      <top style="double">
        <color indexed="8"/>
      </top>
      <bottom/>
      <diagonal/>
    </border>
    <border>
      <left style="medium">
        <color indexed="8"/>
      </left>
      <right style="medium">
        <color indexed="8"/>
      </right>
      <top style="medium">
        <color indexed="8"/>
      </top>
      <bottom style="thin">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bottom style="thin">
        <color indexed="8"/>
      </bottom>
      <diagonal/>
    </border>
    <border>
      <left style="medium">
        <color indexed="8"/>
      </left>
      <right style="thin">
        <color indexed="9"/>
      </right>
      <top/>
      <bottom/>
      <diagonal/>
    </border>
    <border>
      <left/>
      <right/>
      <top style="thin">
        <color indexed="9"/>
      </top>
      <bottom style="thin">
        <color indexed="9"/>
      </bottom>
      <diagonal/>
    </border>
    <border>
      <left/>
      <right/>
      <top style="medium">
        <color indexed="8"/>
      </top>
      <bottom style="medium">
        <color indexed="8"/>
      </bottom>
      <diagonal/>
    </border>
  </borders>
  <cellStyleXfs count="3">
    <xf numFmtId="0" fontId="0" fillId="0" borderId="0"/>
    <xf numFmtId="0" fontId="23" fillId="3" borderId="0"/>
    <xf numFmtId="0" fontId="25" fillId="0" borderId="0"/>
  </cellStyleXfs>
  <cellXfs count="252">
    <xf numFmtId="0" fontId="0" fillId="0" borderId="0" pivotButton="0" quotePrefix="0" xfId="0"/>
    <xf numFmtId="0" fontId="4" fillId="0" borderId="0" applyAlignment="1" pivotButton="0" quotePrefix="0" xfId="0">
      <alignment horizontal="left" vertical="top" wrapText="1"/>
    </xf>
    <xf numFmtId="0" fontId="8" fillId="0" borderId="4" applyAlignment="1" pivotButton="0" quotePrefix="0" xfId="0">
      <alignment horizontal="center" vertical="center" wrapText="1"/>
    </xf>
    <xf numFmtId="164" fontId="10" fillId="0" borderId="25" applyAlignment="1" pivotButton="0" quotePrefix="0" xfId="0">
      <alignment horizontal="center" vertical="center" wrapText="1"/>
    </xf>
    <xf numFmtId="164" fontId="10" fillId="0" borderId="26" applyAlignment="1" pivotButton="0" quotePrefix="0" xfId="0">
      <alignment horizontal="center" vertical="center" wrapText="1"/>
    </xf>
    <xf numFmtId="0" fontId="15" fillId="0" borderId="0" applyAlignment="1" pivotButton="0" quotePrefix="0" xfId="0">
      <alignment horizontal="right"/>
    </xf>
    <xf numFmtId="0" fontId="15" fillId="0" borderId="0" applyAlignment="1" pivotButton="0" quotePrefix="0" xfId="0">
      <alignment horizontal="center"/>
    </xf>
    <xf numFmtId="0" fontId="15" fillId="0" borderId="0" pivotButton="0" quotePrefix="0" xfId="0"/>
    <xf numFmtId="0" fontId="16" fillId="0" borderId="0" applyAlignment="1" pivotButton="0" quotePrefix="0" xfId="0">
      <alignment horizontal="right"/>
    </xf>
    <xf numFmtId="0" fontId="9" fillId="0" borderId="25" applyAlignment="1" pivotButton="0" quotePrefix="0" xfId="0">
      <alignment horizontal="center" vertical="center" wrapText="1"/>
    </xf>
    <xf numFmtId="0" fontId="9" fillId="0" borderId="1" applyAlignment="1" pivotButton="0" quotePrefix="0" xfId="0">
      <alignment horizontal="center" vertical="center" wrapText="1"/>
    </xf>
    <xf numFmtId="0" fontId="9" fillId="0" borderId="17" applyAlignment="1" pivotButton="0" quotePrefix="0" xfId="0">
      <alignment horizontal="center" vertical="center" wrapText="1"/>
    </xf>
    <xf numFmtId="0" fontId="9" fillId="0" borderId="3" applyAlignment="1" pivotButton="0" quotePrefix="0" xfId="0">
      <alignment horizontal="center" vertical="center" wrapText="1"/>
    </xf>
    <xf numFmtId="0" fontId="9" fillId="0" borderId="15" applyAlignment="1" pivotButton="0" quotePrefix="0" xfId="0">
      <alignment horizontal="center" vertical="center" wrapText="1"/>
    </xf>
    <xf numFmtId="0" fontId="9" fillId="0" borderId="5" applyAlignment="1" pivotButton="0" quotePrefix="0" xfId="0">
      <alignment horizontal="center" vertical="center" wrapText="1"/>
    </xf>
    <xf numFmtId="0" fontId="9" fillId="0" borderId="31" applyAlignment="1" pivotButton="0" quotePrefix="0" xfId="0">
      <alignment horizontal="center" vertical="center" wrapText="1"/>
    </xf>
    <xf numFmtId="0" fontId="9" fillId="0" borderId="49" applyAlignment="1" pivotButton="0" quotePrefix="0" xfId="0">
      <alignment horizontal="center" vertical="center" wrapText="1"/>
    </xf>
    <xf numFmtId="0" fontId="9" fillId="0" borderId="6" applyAlignment="1" pivotButton="0" quotePrefix="0" xfId="0">
      <alignment horizontal="center" vertical="center" wrapText="1"/>
    </xf>
    <xf numFmtId="0" fontId="9" fillId="0" borderId="55" applyAlignment="1" pivotButton="0" quotePrefix="0" xfId="0">
      <alignment horizontal="center" vertical="center" wrapText="1"/>
    </xf>
    <xf numFmtId="0" fontId="9" fillId="0" borderId="39" applyAlignment="1" pivotButton="0" quotePrefix="0" xfId="0">
      <alignment horizontal="center" vertical="center" wrapText="1"/>
    </xf>
    <xf numFmtId="0" fontId="9" fillId="0" borderId="46" applyAlignment="1" pivotButton="0" quotePrefix="0" xfId="0">
      <alignment horizontal="center" vertical="center" wrapText="1"/>
    </xf>
    <xf numFmtId="0" fontId="9" fillId="0" borderId="10" applyAlignment="1" pivotButton="0" quotePrefix="0" xfId="0">
      <alignment horizontal="center" vertical="center" wrapText="1"/>
    </xf>
    <xf numFmtId="0" fontId="9" fillId="0" borderId="37" applyAlignment="1" pivotButton="0" quotePrefix="0" xfId="0">
      <alignment horizontal="center" vertical="center" wrapText="1"/>
    </xf>
    <xf numFmtId="0" fontId="9" fillId="0" borderId="60" applyAlignment="1" pivotButton="0" quotePrefix="0" xfId="0">
      <alignment horizontal="center" vertical="center" wrapText="1"/>
    </xf>
    <xf numFmtId="0" fontId="9" fillId="0" borderId="61" applyAlignment="1" pivotButton="0" quotePrefix="0" xfId="0">
      <alignment horizontal="center" vertical="center" wrapText="1"/>
    </xf>
    <xf numFmtId="0" fontId="9" fillId="0" borderId="62" applyAlignment="1" pivotButton="0" quotePrefix="0" xfId="0">
      <alignment horizontal="center" vertical="center" wrapText="1"/>
    </xf>
    <xf numFmtId="0" fontId="9" fillId="0" borderId="64" applyAlignment="1" pivotButton="0" quotePrefix="0" xfId="0">
      <alignment horizontal="center" vertical="center" wrapText="1"/>
    </xf>
    <xf numFmtId="0" fontId="9" fillId="0" borderId="63" applyAlignment="1" pivotButton="0" quotePrefix="0" xfId="0">
      <alignment horizontal="center" vertical="center" wrapText="1"/>
    </xf>
    <xf numFmtId="0" fontId="9" fillId="0" borderId="66" applyAlignment="1" pivotButton="0" quotePrefix="0" xfId="0">
      <alignment horizontal="center" vertical="center" wrapText="1"/>
    </xf>
    <xf numFmtId="0" fontId="9" fillId="0" borderId="65" applyAlignment="1" pivotButton="0" quotePrefix="0" xfId="0">
      <alignment horizontal="center" vertical="center" wrapText="1"/>
    </xf>
    <xf numFmtId="0" fontId="3" fillId="0" borderId="19" applyAlignment="1" pivotButton="0" quotePrefix="0" xfId="0">
      <alignment horizontal="center" vertical="center" wrapText="1"/>
    </xf>
    <xf numFmtId="0" fontId="3" fillId="0" borderId="53" applyAlignment="1" pivotButton="0" quotePrefix="0" xfId="0">
      <alignment horizontal="center" vertical="center" wrapText="1"/>
    </xf>
    <xf numFmtId="0" fontId="3" fillId="0" borderId="52" applyAlignment="1" pivotButton="0" quotePrefix="0" xfId="0">
      <alignment horizontal="center" vertical="center" wrapText="1"/>
    </xf>
    <xf numFmtId="0" fontId="3" fillId="0" borderId="11" applyAlignment="1" pivotButton="0" quotePrefix="0" xfId="0">
      <alignment horizontal="center" vertical="center" wrapText="1"/>
    </xf>
    <xf numFmtId="0" fontId="3" fillId="0" borderId="54" applyAlignment="1" pivotButton="0" quotePrefix="0" xfId="0">
      <alignment horizontal="center" vertical="center" wrapText="1"/>
    </xf>
    <xf numFmtId="0" fontId="3" fillId="0" borderId="54" applyAlignment="1" pivotButton="0" quotePrefix="0" xfId="0">
      <alignment horizontal="center" vertical="center" wrapText="1"/>
    </xf>
    <xf numFmtId="0" fontId="3" fillId="0" borderId="63" applyAlignment="1" pivotButton="0" quotePrefix="0" xfId="0">
      <alignment horizontal="center" vertical="center" wrapText="1"/>
    </xf>
    <xf numFmtId="165" fontId="5" fillId="0" borderId="1" applyAlignment="1" pivotButton="0" quotePrefix="0" xfId="0">
      <alignment horizontal="center" vertical="center" wrapText="1"/>
    </xf>
    <xf numFmtId="0" fontId="11" fillId="0" borderId="15" applyAlignment="1" pivotButton="0" quotePrefix="0" xfId="0">
      <alignment horizontal="center" vertical="center" wrapText="1"/>
    </xf>
    <xf numFmtId="0" fontId="11" fillId="0" borderId="16" applyAlignment="1" pivotButton="0" quotePrefix="0" xfId="0">
      <alignment horizontal="center" vertical="center" wrapText="1"/>
    </xf>
    <xf numFmtId="0" fontId="11" fillId="0" borderId="31" applyAlignment="1" pivotButton="0" quotePrefix="0" xfId="0">
      <alignment horizontal="center" vertical="center" wrapText="1"/>
    </xf>
    <xf numFmtId="0" fontId="6" fillId="0" borderId="2" applyAlignment="1" pivotButton="0" quotePrefix="0" xfId="0">
      <alignment horizontal="center" vertical="top" wrapText="1"/>
    </xf>
    <xf numFmtId="0" fontId="11" fillId="0" borderId="25" applyAlignment="1" pivotButton="0" quotePrefix="0" xfId="0">
      <alignment horizontal="center" vertical="center" wrapText="1"/>
    </xf>
    <xf numFmtId="0" fontId="10" fillId="0" borderId="15" applyAlignment="1" pivotButton="0" quotePrefix="0" xfId="0">
      <alignment horizontal="left" vertical="center" wrapText="1"/>
    </xf>
    <xf numFmtId="0" fontId="10" fillId="0" borderId="16" applyAlignment="1" pivotButton="0" quotePrefix="0" xfId="0">
      <alignment horizontal="left" vertical="center" wrapText="1"/>
    </xf>
    <xf numFmtId="0" fontId="10" fillId="0" borderId="17" applyAlignment="1" pivotButton="0" quotePrefix="0" xfId="0">
      <alignment horizontal="left" vertical="center" wrapText="1"/>
    </xf>
    <xf numFmtId="0" fontId="11" fillId="0" borderId="40" applyAlignment="1" pivotButton="0" quotePrefix="0" xfId="0">
      <alignment horizontal="center" vertical="center" wrapText="1"/>
    </xf>
    <xf numFmtId="0" fontId="11" fillId="0" borderId="41" applyAlignment="1" pivotButton="0" quotePrefix="0" xfId="0">
      <alignment horizontal="center" vertical="center" wrapText="1"/>
    </xf>
    <xf numFmtId="0" fontId="18" fillId="0" borderId="12" applyAlignment="1" pivotButton="0" quotePrefix="0" xfId="0">
      <alignment horizontal="center" wrapText="1"/>
    </xf>
    <xf numFmtId="0" fontId="10" fillId="0" borderId="14" applyAlignment="1" pivotButton="0" quotePrefix="0" xfId="0">
      <alignment horizontal="center" vertical="top" wrapText="1"/>
    </xf>
    <xf numFmtId="0" fontId="3" fillId="0" borderId="0" applyAlignment="1" pivotButton="0" quotePrefix="0" xfId="0">
      <alignment horizontal="center" vertical="top" wrapText="1"/>
    </xf>
    <xf numFmtId="0" fontId="0" fillId="0" borderId="0" pivotButton="0" quotePrefix="0" xfId="0"/>
    <xf numFmtId="0" fontId="8" fillId="0" borderId="42" applyAlignment="1" pivotButton="0" quotePrefix="0" xfId="0">
      <alignment horizontal="left" vertical="center" wrapText="1"/>
    </xf>
    <xf numFmtId="0" fontId="8" fillId="0" borderId="0" applyAlignment="1" pivotButton="0" quotePrefix="0" xfId="0">
      <alignment horizontal="left" vertical="center" wrapText="1"/>
    </xf>
    <xf numFmtId="0" fontId="14" fillId="0" borderId="0" applyAlignment="1" pivotButton="0" quotePrefix="0" xfId="0">
      <alignment horizontal="left" vertical="center" wrapText="1"/>
    </xf>
    <xf numFmtId="0" fontId="12" fillId="0" borderId="42" applyAlignment="1" pivotButton="0" quotePrefix="0" xfId="0">
      <alignment horizontal="left" vertical="top" wrapText="1"/>
    </xf>
    <xf numFmtId="0" fontId="12" fillId="0" borderId="0" applyAlignment="1" pivotButton="0" quotePrefix="0" xfId="0">
      <alignment horizontal="left" vertical="top" wrapText="1"/>
    </xf>
    <xf numFmtId="0" fontId="18" fillId="0" borderId="0" applyAlignment="1" pivotButton="0" quotePrefix="0" xfId="0">
      <alignment horizontal="center" wrapText="1"/>
    </xf>
    <xf numFmtId="0" fontId="8" fillId="0" borderId="42" applyAlignment="1" pivotButton="0" quotePrefix="0" xfId="0">
      <alignment horizontal="left" vertical="top" wrapText="1"/>
    </xf>
    <xf numFmtId="0" fontId="8" fillId="0" borderId="0" applyAlignment="1" pivotButton="0" quotePrefix="0" xfId="0">
      <alignment horizontal="left" vertical="top" wrapText="1"/>
    </xf>
    <xf numFmtId="0" fontId="8" fillId="0" borderId="45" applyAlignment="1" pivotButton="0" quotePrefix="0" xfId="0">
      <alignment horizontal="left" vertical="top" wrapText="1"/>
    </xf>
    <xf numFmtId="0" fontId="8" fillId="0" borderId="9" applyAlignment="1" pivotButton="0" quotePrefix="0" xfId="0">
      <alignment horizontal="left" vertical="top" wrapText="1"/>
    </xf>
    <xf numFmtId="0" fontId="8" fillId="0" borderId="20" applyAlignment="1" pivotButton="0" quotePrefix="0" xfId="0">
      <alignment horizontal="center" vertical="center" wrapText="1"/>
    </xf>
    <xf numFmtId="0" fontId="8" fillId="0" borderId="0" applyAlignment="1" pivotButton="0" quotePrefix="0" xfId="0">
      <alignment horizontal="center" vertical="center" wrapText="1"/>
    </xf>
    <xf numFmtId="0" fontId="8" fillId="0" borderId="8" applyAlignment="1" pivotButton="0" quotePrefix="0" xfId="0">
      <alignment horizontal="center" vertical="center" wrapText="1"/>
    </xf>
    <xf numFmtId="0" fontId="8" fillId="0" borderId="43" applyAlignment="1" pivotButton="0" quotePrefix="0" xfId="0">
      <alignment horizontal="center" vertical="center" wrapText="1"/>
    </xf>
    <xf numFmtId="0" fontId="8" fillId="0" borderId="9" applyAlignment="1" pivotButton="0" quotePrefix="0" xfId="0">
      <alignment horizontal="center" vertical="center" wrapText="1"/>
    </xf>
    <xf numFmtId="0" fontId="8" fillId="0" borderId="44" applyAlignment="1" pivotButton="0" quotePrefix="0" xfId="0">
      <alignment horizontal="center" vertical="center" wrapText="1"/>
    </xf>
    <xf numFmtId="165" fontId="5" fillId="0" borderId="6" applyAlignment="1" pivotButton="0" quotePrefix="0" xfId="0">
      <alignment horizontal="center" vertical="center" wrapText="1"/>
    </xf>
    <xf numFmtId="165" fontId="5" fillId="0" borderId="13" applyAlignment="1" pivotButton="0" quotePrefix="0" xfId="0">
      <alignment horizontal="center" vertical="center" wrapText="1"/>
    </xf>
    <xf numFmtId="165" fontId="5" fillId="0" borderId="37" applyAlignment="1" pivotButton="0" quotePrefix="0" xfId="0">
      <alignment horizontal="center" vertical="center" wrapText="1"/>
    </xf>
    <xf numFmtId="165" fontId="5" fillId="0" borderId="46" applyAlignment="1" pivotButton="0" quotePrefix="0" xfId="0">
      <alignment horizontal="center" vertical="center" wrapText="1"/>
    </xf>
    <xf numFmtId="165" fontId="5" fillId="0" borderId="45" applyAlignment="1" pivotButton="0" quotePrefix="0" xfId="0">
      <alignment horizontal="center" vertical="center" wrapText="1"/>
    </xf>
    <xf numFmtId="165" fontId="5" fillId="0" borderId="47" applyAlignment="1" pivotButton="0" quotePrefix="0" xfId="0">
      <alignment horizontal="center" vertical="center" wrapText="1"/>
    </xf>
    <xf numFmtId="0" fontId="8" fillId="0" borderId="19" applyAlignment="1" pivotButton="0" quotePrefix="0" xfId="0">
      <alignment horizontal="center" vertical="center" wrapText="1"/>
    </xf>
    <xf numFmtId="0" fontId="8" fillId="0" borderId="12" applyAlignment="1" pivotButton="0" quotePrefix="0" xfId="0">
      <alignment horizontal="center" vertical="center" wrapText="1"/>
    </xf>
    <xf numFmtId="0" fontId="8" fillId="0" borderId="52" applyAlignment="1" pivotButton="0" quotePrefix="0" xfId="0">
      <alignment horizontal="center" vertical="center" wrapText="1"/>
    </xf>
    <xf numFmtId="165" fontId="5" fillId="0" borderId="53" applyAlignment="1" pivotButton="0" quotePrefix="0" xfId="0">
      <alignment horizontal="center" vertical="center" wrapText="1"/>
    </xf>
    <xf numFmtId="165" fontId="5" fillId="0" borderId="54" applyAlignment="1" pivotButton="0" quotePrefix="0" xfId="0">
      <alignment horizontal="center" vertical="center" wrapText="1"/>
    </xf>
    <xf numFmtId="165" fontId="5" fillId="0" borderId="23" applyAlignment="1" pivotButton="0" quotePrefix="0" xfId="0">
      <alignment horizontal="center" vertical="center" wrapText="1"/>
    </xf>
    <xf numFmtId="0" fontId="3" fillId="0" borderId="0" applyAlignment="1" pivotButton="0" quotePrefix="0" xfId="0">
      <alignment horizontal="justify" vertical="top" wrapText="1"/>
    </xf>
    <xf numFmtId="0" fontId="2" fillId="0" borderId="43" applyAlignment="1" pivotButton="0" quotePrefix="0" xfId="0">
      <alignment horizontal="center" vertical="center" wrapText="1"/>
    </xf>
    <xf numFmtId="0" fontId="2" fillId="0" borderId="9" applyAlignment="1" pivotButton="0" quotePrefix="0" xfId="0">
      <alignment horizontal="center" vertical="center" wrapText="1"/>
    </xf>
    <xf numFmtId="0" fontId="2" fillId="0" borderId="44" applyAlignment="1" pivotButton="0" quotePrefix="0" xfId="0">
      <alignment horizontal="center" vertical="center" wrapText="1"/>
    </xf>
    <xf numFmtId="165" fontId="5" fillId="0" borderId="15" applyAlignment="1" pivotButton="0" quotePrefix="0" xfId="0">
      <alignment horizontal="center" vertical="center" wrapText="1"/>
    </xf>
    <xf numFmtId="165" fontId="5" fillId="0" borderId="31" applyAlignment="1" pivotButton="0" quotePrefix="0" xfId="0">
      <alignment horizontal="center" vertical="center" wrapText="1"/>
    </xf>
    <xf numFmtId="0" fontId="3" fillId="0" borderId="50" applyAlignment="1" pivotButton="0" quotePrefix="0" xfId="0">
      <alignment horizontal="left" vertical="center" wrapText="1"/>
    </xf>
    <xf numFmtId="0" fontId="3" fillId="0" borderId="51" applyAlignment="1" pivotButton="0" quotePrefix="0" xfId="0">
      <alignment horizontal="left" vertical="center" wrapText="1"/>
    </xf>
    <xf numFmtId="0" fontId="17" fillId="0" borderId="0" pivotButton="0" quotePrefix="0" xfId="0"/>
    <xf numFmtId="0" fontId="13" fillId="0" borderId="43" applyAlignment="1" pivotButton="0" quotePrefix="0" xfId="0">
      <alignment horizontal="center" vertical="top" wrapText="1"/>
    </xf>
    <xf numFmtId="0" fontId="13" fillId="0" borderId="9" applyAlignment="1" pivotButton="0" quotePrefix="0" xfId="0">
      <alignment horizontal="center" vertical="top" wrapText="1"/>
    </xf>
    <xf numFmtId="0" fontId="13" fillId="0" borderId="44" applyAlignment="1" pivotButton="0" quotePrefix="0" xfId="0">
      <alignment horizontal="center" vertical="top" wrapText="1"/>
    </xf>
    <xf numFmtId="0" fontId="2" fillId="0" borderId="20" applyAlignment="1" pivotButton="0" quotePrefix="0" xfId="0">
      <alignment horizontal="center" vertical="center" wrapText="1"/>
    </xf>
    <xf numFmtId="0" fontId="2" fillId="0" borderId="0" applyAlignment="1" pivotButton="0" quotePrefix="0" xfId="0">
      <alignment horizontal="center" vertical="center" wrapText="1"/>
    </xf>
    <xf numFmtId="0" fontId="2" fillId="0" borderId="8" applyAlignment="1" pivotButton="0" quotePrefix="0" xfId="0">
      <alignment horizontal="center" vertical="center" wrapText="1"/>
    </xf>
    <xf numFmtId="0" fontId="17" fillId="0" borderId="0" applyAlignment="1" pivotButton="0" quotePrefix="0" xfId="0">
      <alignment horizontal="center"/>
    </xf>
    <xf numFmtId="0" fontId="3" fillId="0" borderId="9" applyAlignment="1" pivotButton="0" quotePrefix="0" xfId="0">
      <alignment horizontal="center" vertical="center" wrapText="1"/>
    </xf>
    <xf numFmtId="0" fontId="3" fillId="0" borderId="0" applyAlignment="1" pivotButton="0" quotePrefix="0" xfId="0">
      <alignment horizontal="center" vertical="center" wrapText="1"/>
    </xf>
    <xf numFmtId="0" fontId="2" fillId="0" borderId="49" applyAlignment="1" pivotButton="0" quotePrefix="0" xfId="0">
      <alignment horizontal="center" wrapText="1"/>
    </xf>
    <xf numFmtId="0" fontId="2" fillId="0" borderId="38" applyAlignment="1" pivotButton="0" quotePrefix="0" xfId="0">
      <alignment horizontal="center" wrapText="1"/>
    </xf>
    <xf numFmtId="0" fontId="2" fillId="0" borderId="39" applyAlignment="1" pivotButton="0" quotePrefix="0" xfId="0">
      <alignment horizontal="center" wrapText="1"/>
    </xf>
    <xf numFmtId="0" fontId="3" fillId="0" borderId="0" applyAlignment="1" pivotButton="0" quotePrefix="0" xfId="0">
      <alignment horizontal="center" vertical="center" wrapText="1"/>
    </xf>
    <xf numFmtId="165" fontId="20" fillId="2" borderId="6" applyAlignment="1" pivotButton="0" quotePrefix="0" xfId="0">
      <alignment horizontal="center" vertical="center" wrapText="1"/>
    </xf>
    <xf numFmtId="165" fontId="20" fillId="2" borderId="13" applyAlignment="1" pivotButton="0" quotePrefix="0" xfId="0">
      <alignment horizontal="center" vertical="center" wrapText="1"/>
    </xf>
    <xf numFmtId="165" fontId="5" fillId="2" borderId="6" applyAlignment="1" pivotButton="0" quotePrefix="0" xfId="0">
      <alignment horizontal="center" vertical="center" wrapText="1"/>
    </xf>
    <xf numFmtId="165" fontId="5" fillId="2" borderId="13" applyAlignment="1" pivotButton="0" quotePrefix="0" xfId="0">
      <alignment horizontal="center" vertical="center" wrapText="1"/>
    </xf>
    <xf numFmtId="165" fontId="5" fillId="2" borderId="37" applyAlignment="1" pivotButton="0" quotePrefix="0" xfId="0">
      <alignment horizontal="center" vertical="center" wrapText="1"/>
    </xf>
    <xf numFmtId="165" fontId="5" fillId="2" borderId="46" applyAlignment="1" pivotButton="0" quotePrefix="0" xfId="0">
      <alignment horizontal="center" vertical="center" wrapText="1"/>
    </xf>
    <xf numFmtId="165" fontId="5" fillId="2" borderId="45" applyAlignment="1" pivotButton="0" quotePrefix="0" xfId="0">
      <alignment horizontal="center" vertical="center" wrapText="1"/>
    </xf>
    <xf numFmtId="165" fontId="5" fillId="2" borderId="47" applyAlignment="1" pivotButton="0" quotePrefix="0" xfId="0">
      <alignment horizontal="center" vertical="center" wrapText="1"/>
    </xf>
    <xf numFmtId="0" fontId="2" fillId="0" borderId="20" applyAlignment="1" pivotButton="0" quotePrefix="0" xfId="0">
      <alignment horizontal="right" vertical="center" wrapText="1"/>
    </xf>
    <xf numFmtId="0" fontId="2" fillId="0" borderId="0" applyAlignment="1" pivotButton="0" quotePrefix="0" xfId="0">
      <alignment horizontal="right" vertical="center" wrapText="1"/>
    </xf>
    <xf numFmtId="0" fontId="2" fillId="0" borderId="48" applyAlignment="1" pivotButton="0" quotePrefix="0" xfId="0">
      <alignment horizontal="right" vertical="center" wrapText="1"/>
    </xf>
    <xf numFmtId="0" fontId="13" fillId="0" borderId="0" applyAlignment="1" pivotButton="0" quotePrefix="0" xfId="0">
      <alignment horizontal="left" vertical="center" wrapText="1"/>
    </xf>
    <xf numFmtId="0" fontId="13" fillId="0" borderId="8" applyAlignment="1" pivotButton="0" quotePrefix="0" xfId="0">
      <alignment horizontal="left" vertical="center" wrapText="1"/>
    </xf>
    <xf numFmtId="165" fontId="5" fillId="2" borderId="7" applyAlignment="1" pivotButton="0" quotePrefix="0" xfId="0">
      <alignment horizontal="center" vertical="center" wrapText="1"/>
    </xf>
    <xf numFmtId="165" fontId="5" fillId="2" borderId="42" applyAlignment="1" pivotButton="0" quotePrefix="0" xfId="0">
      <alignment horizontal="center" vertical="center" wrapText="1"/>
    </xf>
    <xf numFmtId="165" fontId="5" fillId="2" borderId="22" applyAlignment="1" pivotButton="0" quotePrefix="0" xfId="0">
      <alignment horizontal="center" vertical="center" wrapText="1"/>
    </xf>
    <xf numFmtId="0" fontId="11" fillId="0" borderId="26" applyAlignment="1" pivotButton="0" quotePrefix="0" xfId="0">
      <alignment horizontal="center" vertical="center" wrapText="1"/>
    </xf>
    <xf numFmtId="0" fontId="11" fillId="0" borderId="36" applyAlignment="1" pivotButton="0" quotePrefix="0" xfId="0">
      <alignment horizontal="center" vertical="center" wrapText="1"/>
    </xf>
    <xf numFmtId="0" fontId="11" fillId="0" borderId="35" applyAlignment="1" pivotButton="0" quotePrefix="0" xfId="0">
      <alignment horizontal="center" vertical="center" wrapText="1"/>
    </xf>
    <xf numFmtId="0" fontId="6" fillId="0" borderId="0" applyAlignment="1" pivotButton="0" quotePrefix="0" xfId="0">
      <alignment horizontal="left" vertical="center" wrapText="1"/>
    </xf>
    <xf numFmtId="0" fontId="8" fillId="0" borderId="37" applyAlignment="1" pivotButton="0" quotePrefix="0" xfId="0">
      <alignment horizontal="left" vertical="center" wrapText="1"/>
    </xf>
    <xf numFmtId="0" fontId="8" fillId="0" borderId="38" applyAlignment="1" pivotButton="0" quotePrefix="0" xfId="0">
      <alignment horizontal="left" vertical="center" wrapText="1"/>
    </xf>
    <xf numFmtId="0" fontId="8" fillId="0" borderId="40" applyAlignment="1" pivotButton="0" quotePrefix="0" xfId="0">
      <alignment horizontal="center" vertical="center" wrapText="1"/>
    </xf>
    <xf numFmtId="0" fontId="8" fillId="0" borderId="24" applyAlignment="1" pivotButton="0" quotePrefix="0" xfId="0">
      <alignment horizontal="center" vertical="center" wrapText="1"/>
    </xf>
    <xf numFmtId="0" fontId="8" fillId="0" borderId="41" applyAlignment="1" pivotButton="0" quotePrefix="0" xfId="0">
      <alignment horizontal="center" vertical="center" wrapText="1"/>
    </xf>
    <xf numFmtId="0" fontId="3" fillId="0" borderId="0" applyAlignment="1" pivotButton="0" quotePrefix="0" xfId="0">
      <alignment horizontal="left" vertical="top" wrapText="1"/>
    </xf>
    <xf numFmtId="0" fontId="12" fillId="0" borderId="42" applyAlignment="1" pivotButton="0" quotePrefix="0" xfId="0">
      <alignment horizontal="center" vertical="top" wrapText="1"/>
    </xf>
    <xf numFmtId="0" fontId="12" fillId="0" borderId="0" applyAlignment="1" pivotButton="0" quotePrefix="0" xfId="0">
      <alignment horizontal="center" vertical="top" wrapText="1"/>
    </xf>
    <xf numFmtId="0" fontId="8" fillId="0" borderId="28" applyAlignment="1" pivotButton="0" quotePrefix="0" xfId="0">
      <alignment horizontal="center" vertical="center" wrapText="1"/>
    </xf>
    <xf numFmtId="0" fontId="8" fillId="0" borderId="35" applyAlignment="1" pivotButton="0" quotePrefix="0" xfId="0">
      <alignment horizontal="center" vertical="center" wrapText="1"/>
    </xf>
    <xf numFmtId="0" fontId="3" fillId="0" borderId="20" applyAlignment="1" pivotButton="0" quotePrefix="0" xfId="0">
      <alignment horizontal="left" vertical="center" wrapText="1"/>
    </xf>
    <xf numFmtId="0" fontId="3" fillId="0" borderId="0" applyAlignment="1" pivotButton="0" quotePrefix="0" xfId="0">
      <alignment horizontal="left" vertical="center" wrapText="1"/>
    </xf>
    <xf numFmtId="0" fontId="3" fillId="0" borderId="8" applyAlignment="1" pivotButton="0" quotePrefix="0" xfId="0">
      <alignment horizontal="left" vertical="center" wrapText="1"/>
    </xf>
    <xf numFmtId="0" fontId="3" fillId="0" borderId="43" applyAlignment="1" pivotButton="0" quotePrefix="0" xfId="0">
      <alignment horizontal="left" vertical="center" wrapText="1"/>
    </xf>
    <xf numFmtId="0" fontId="3" fillId="0" borderId="9" applyAlignment="1" pivotButton="0" quotePrefix="0" xfId="0">
      <alignment horizontal="left" vertical="center" wrapText="1"/>
    </xf>
    <xf numFmtId="0" fontId="3" fillId="0" borderId="44" applyAlignment="1" pivotButton="0" quotePrefix="0" xfId="0">
      <alignment horizontal="left" vertical="center" wrapText="1"/>
    </xf>
    <xf numFmtId="0" fontId="11" fillId="0" borderId="19" applyAlignment="1" pivotButton="0" quotePrefix="0" xfId="0">
      <alignment horizontal="center" vertical="center" wrapText="1"/>
    </xf>
    <xf numFmtId="0" fontId="11" fillId="0" borderId="23" applyAlignment="1" pivotButton="0" quotePrefix="0" xfId="0">
      <alignment horizontal="center" vertical="center" wrapText="1"/>
    </xf>
    <xf numFmtId="0" fontId="10" fillId="0" borderId="28" applyAlignment="1" pivotButton="0" quotePrefix="0" xfId="0">
      <alignment horizontal="center" vertical="center" wrapText="1"/>
    </xf>
    <xf numFmtId="0" fontId="10" fillId="0" borderId="36" applyAlignment="1" pivotButton="0" quotePrefix="0" xfId="0">
      <alignment horizontal="center" vertical="center" wrapText="1"/>
    </xf>
    <xf numFmtId="0" fontId="10" fillId="0" borderId="27" applyAlignment="1" pivotButton="0" quotePrefix="0" xfId="0">
      <alignment horizontal="center" vertical="center" wrapText="1"/>
    </xf>
    <xf numFmtId="0" fontId="10" fillId="0" borderId="32" applyAlignment="1" pivotButton="0" quotePrefix="0" xfId="0">
      <alignment horizontal="center" vertical="center" wrapText="1"/>
    </xf>
    <xf numFmtId="0" fontId="10" fillId="0" borderId="33" applyAlignment="1" pivotButton="0" quotePrefix="0" xfId="0">
      <alignment horizontal="center" vertical="center" wrapText="1"/>
    </xf>
    <xf numFmtId="0" fontId="10" fillId="0" borderId="34" applyAlignment="1" pivotButton="0" quotePrefix="0" xfId="0">
      <alignment horizontal="center" vertical="center" wrapText="1"/>
    </xf>
    <xf numFmtId="0" fontId="10" fillId="0" borderId="31" applyAlignment="1" pivotButton="0" quotePrefix="0" xfId="0">
      <alignment horizontal="left" vertical="center" wrapText="1"/>
    </xf>
    <xf numFmtId="0" fontId="8" fillId="0" borderId="29" applyAlignment="1" pivotButton="0" quotePrefix="0" xfId="0">
      <alignment horizontal="center" vertical="center" wrapText="1"/>
    </xf>
    <xf numFmtId="0" fontId="8" fillId="0" borderId="30" applyAlignment="1" pivotButton="0" quotePrefix="0" xfId="0">
      <alignment horizontal="center" vertical="center" wrapText="1"/>
    </xf>
    <xf numFmtId="0" fontId="6" fillId="0" borderId="18"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19" applyAlignment="1" pivotButton="0" quotePrefix="0" xfId="0">
      <alignment horizontal="center" vertical="center" wrapText="1"/>
    </xf>
    <xf numFmtId="0" fontId="6" fillId="0" borderId="14" applyAlignment="1" pivotButton="0" quotePrefix="0" xfId="0">
      <alignment horizontal="center" vertical="center" wrapText="1"/>
    </xf>
    <xf numFmtId="0" fontId="6" fillId="0" borderId="21"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12" applyAlignment="1" pivotButton="0" quotePrefix="0" xfId="0">
      <alignment horizontal="center" vertical="center" wrapText="1"/>
    </xf>
    <xf numFmtId="0" fontId="6" fillId="0" borderId="23" applyAlignment="1" pivotButton="0" quotePrefix="0" xfId="0">
      <alignment horizontal="center" vertical="center" wrapText="1"/>
    </xf>
    <xf numFmtId="0" fontId="3" fillId="0" borderId="42" applyAlignment="1" pivotButton="0" quotePrefix="0" xfId="0">
      <alignment horizontal="center" vertical="center" wrapText="1"/>
    </xf>
    <xf numFmtId="0" fontId="3" fillId="0" borderId="14" applyAlignment="1" pivotButton="0" quotePrefix="0" xfId="0">
      <alignment horizontal="center" vertical="center" wrapText="1"/>
    </xf>
    <xf numFmtId="0" fontId="3" fillId="0" borderId="67" applyAlignment="1" pivotButton="0" quotePrefix="0" xfId="0">
      <alignment horizontal="center" vertical="center" wrapText="1"/>
    </xf>
    <xf numFmtId="0" fontId="7" fillId="0" borderId="20" applyAlignment="1" pivotButton="0" quotePrefix="0" xfId="0">
      <alignment horizontal="center" vertical="center" wrapText="1"/>
    </xf>
    <xf numFmtId="0" fontId="7" fillId="0" borderId="0" applyAlignment="1" pivotButton="0" quotePrefix="0" xfId="0">
      <alignment horizontal="center" vertical="center" wrapText="1"/>
    </xf>
    <xf numFmtId="0" fontId="7" fillId="0" borderId="22" applyAlignment="1" pivotButton="0" quotePrefix="0" xfId="0">
      <alignment horizontal="center" vertical="center" wrapText="1"/>
    </xf>
    <xf numFmtId="0" fontId="7" fillId="0" borderId="12" applyAlignment="1" pivotButton="0" quotePrefix="0" xfId="0">
      <alignment horizontal="center" vertical="center" wrapText="1"/>
    </xf>
    <xf numFmtId="0" fontId="7" fillId="0" borderId="23" applyAlignment="1" pivotButton="0" quotePrefix="0" xfId="0">
      <alignment horizontal="center" vertical="center" wrapText="1"/>
    </xf>
    <xf numFmtId="0" fontId="8" fillId="0" borderId="22" applyAlignment="1" pivotButton="0" quotePrefix="0" xfId="0">
      <alignment horizontal="center" vertical="center" wrapText="1"/>
    </xf>
    <xf numFmtId="0" fontId="8" fillId="0" borderId="23" applyAlignment="1" pivotButton="0" quotePrefix="0" xfId="0">
      <alignment horizontal="center" vertical="center" wrapText="1"/>
    </xf>
    <xf numFmtId="0" fontId="3" fillId="0" borderId="0" applyAlignment="1" pivotButton="0" quotePrefix="0" xfId="0">
      <alignment horizontal="right" vertical="center" wrapText="1"/>
    </xf>
    <xf numFmtId="0" fontId="19" fillId="0" borderId="15" applyAlignment="1" pivotButton="0" quotePrefix="0" xfId="0">
      <alignment horizontal="center" vertical="center" wrapText="1"/>
    </xf>
    <xf numFmtId="0" fontId="19" fillId="0" borderId="16" applyAlignment="1" pivotButton="0" quotePrefix="0" xfId="0">
      <alignment horizontal="center" vertical="center" wrapText="1"/>
    </xf>
    <xf numFmtId="0" fontId="19" fillId="0" borderId="17" applyAlignment="1" pivotButton="0" quotePrefix="0" xfId="0">
      <alignment horizontal="center" vertical="center" wrapText="1"/>
    </xf>
    <xf numFmtId="0" fontId="1" fillId="0" borderId="0" applyAlignment="1" pivotButton="0" quotePrefix="0" xfId="0">
      <alignment horizontal="center" vertical="top" wrapText="1"/>
    </xf>
    <xf numFmtId="0" fontId="2" fillId="0" borderId="0" applyAlignment="1" pivotButton="0" quotePrefix="0" xfId="0">
      <alignment horizontal="center" vertical="top" wrapText="1"/>
    </xf>
    <xf numFmtId="0" fontId="23" fillId="3" borderId="56" applyAlignment="1" applyProtection="1" pivotButton="0" quotePrefix="0" xfId="1">
      <alignment horizontal="left"/>
      <protection locked="0" hidden="0"/>
    </xf>
    <xf numFmtId="0" fontId="23" fillId="3" borderId="57" applyAlignment="1" applyProtection="1" pivotButton="0" quotePrefix="0" xfId="1">
      <alignment horizontal="left"/>
      <protection locked="0" hidden="0"/>
    </xf>
    <xf numFmtId="0" fontId="23" fillId="3" borderId="58" applyAlignment="1" applyProtection="1" pivotButton="0" quotePrefix="0" xfId="1">
      <alignment horizontal="left"/>
      <protection locked="0" hidden="0"/>
    </xf>
    <xf numFmtId="0" fontId="23" fillId="3" borderId="59" applyAlignment="1" applyProtection="1" pivotButton="0" quotePrefix="0" xfId="1">
      <alignment horizontal="left"/>
      <protection locked="0" hidden="0"/>
    </xf>
    <xf numFmtId="0" fontId="23" fillId="3" borderId="56" applyAlignment="1" applyProtection="1" pivotButton="0" quotePrefix="0" xfId="1">
      <alignment horizontal="center"/>
      <protection locked="0" hidden="0"/>
    </xf>
    <xf numFmtId="0" fontId="24" fillId="0" borderId="0" applyAlignment="1" pivotButton="0" quotePrefix="0" xfId="0">
      <alignment horizontal="left"/>
    </xf>
    <xf numFmtId="0" fontId="26" fillId="0" borderId="0" pivotButton="0" quotePrefix="0" xfId="0"/>
    <xf numFmtId="0" fontId="27" fillId="0" borderId="0" pivotButton="0" quotePrefix="0" xfId="2"/>
    <xf numFmtId="0" fontId="0" fillId="0" borderId="58" applyProtection="1" pivotButton="0" quotePrefix="0" xfId="0">
      <protection locked="0" hidden="0"/>
    </xf>
    <xf numFmtId="0" fontId="0" fillId="0" borderId="59" applyProtection="1" pivotButton="0" quotePrefix="0" xfId="0">
      <protection locked="0" hidden="0"/>
    </xf>
    <xf numFmtId="0" fontId="19" fillId="0" borderId="1" applyAlignment="1" pivotButton="0" quotePrefix="0" xfId="0">
      <alignment horizontal="center" vertical="center" wrapText="1"/>
    </xf>
    <xf numFmtId="0" fontId="0" fillId="0" borderId="16" pivotButton="0" quotePrefix="0" xfId="0"/>
    <xf numFmtId="0" fontId="0" fillId="0" borderId="17" pivotButton="0" quotePrefix="0" xfId="0"/>
    <xf numFmtId="0" fontId="6" fillId="0" borderId="29" applyAlignment="1" pivotButton="0" quotePrefix="0" xfId="0">
      <alignment horizontal="center" vertical="center" wrapText="1"/>
    </xf>
    <xf numFmtId="0" fontId="6" fillId="0" borderId="2" applyAlignment="1" pivotButton="0" quotePrefix="0" xfId="0">
      <alignment horizontal="center" vertical="center" wrapText="1"/>
    </xf>
    <xf numFmtId="0" fontId="0" fillId="0" borderId="14" pivotButton="0" quotePrefix="0" xfId="0"/>
    <xf numFmtId="0" fontId="0" fillId="0" borderId="21" pivotButton="0" quotePrefix="0" xfId="0"/>
    <xf numFmtId="0" fontId="3" fillId="0" borderId="7" applyAlignment="1" pivotButton="0" quotePrefix="0" xfId="0">
      <alignment horizontal="center" vertical="center" wrapText="1"/>
    </xf>
    <xf numFmtId="0" fontId="0" fillId="0" borderId="8" pivotButton="0" quotePrefix="0" xfId="0"/>
    <xf numFmtId="0" fontId="7" fillId="0" borderId="71" applyAlignment="1" pivotButton="0" quotePrefix="0" xfId="0">
      <alignment horizontal="center" vertical="center" wrapText="1"/>
    </xf>
    <xf numFmtId="0" fontId="0" fillId="0" borderId="22" pivotButton="0" quotePrefix="0" xfId="0"/>
    <xf numFmtId="0" fontId="8" fillId="0" borderId="71" applyAlignment="1" pivotButton="0" quotePrefix="0" xfId="0">
      <alignment horizontal="center" vertical="center" wrapText="1"/>
    </xf>
    <xf numFmtId="0" fontId="0" fillId="0" borderId="20" pivotButton="0" quotePrefix="0" xfId="0"/>
    <xf numFmtId="0" fontId="0" fillId="0" borderId="19" pivotButton="0" quotePrefix="0" xfId="0"/>
    <xf numFmtId="0" fontId="0" fillId="0" borderId="12" pivotButton="0" quotePrefix="0" xfId="0"/>
    <xf numFmtId="0" fontId="0" fillId="0" borderId="23" pivotButton="0" quotePrefix="0" xfId="0"/>
    <xf numFmtId="0" fontId="8" fillId="0" borderId="2" applyAlignment="1" pivotButton="0" quotePrefix="0" xfId="0">
      <alignment horizontal="center" vertical="center" wrapText="1"/>
    </xf>
    <xf numFmtId="0" fontId="0" fillId="0" borderId="30" pivotButton="0" quotePrefix="0" xfId="0"/>
    <xf numFmtId="0" fontId="10" fillId="0" borderId="1" applyAlignment="1" pivotButton="0" quotePrefix="0" xfId="0">
      <alignment horizontal="left" vertical="center" wrapText="1"/>
    </xf>
    <xf numFmtId="0" fontId="11" fillId="0" borderId="76" applyAlignment="1" pivotButton="0" quotePrefix="0" xfId="0">
      <alignment horizontal="center" vertical="center" wrapText="1"/>
    </xf>
    <xf numFmtId="0" fontId="0" fillId="0" borderId="41" pivotButton="0" quotePrefix="0" xfId="0"/>
    <xf numFmtId="0" fontId="11" fillId="0" borderId="70" applyAlignment="1" pivotButton="0" quotePrefix="0" xfId="0">
      <alignment horizontal="center" vertical="center" wrapText="1"/>
    </xf>
    <xf numFmtId="0" fontId="0" fillId="0" borderId="31" pivotButton="0" quotePrefix="0" xfId="0"/>
    <xf numFmtId="0" fontId="11" fillId="0" borderId="5" applyAlignment="1" pivotButton="0" quotePrefix="0" xfId="0">
      <alignment horizontal="center" vertical="center" wrapText="1"/>
    </xf>
    <xf numFmtId="0" fontId="11" fillId="0" borderId="72" applyAlignment="1" pivotButton="0" quotePrefix="0" xfId="0">
      <alignment horizontal="center" vertical="center" wrapText="1"/>
    </xf>
    <xf numFmtId="0" fontId="0" fillId="0" borderId="35" pivotButton="0" quotePrefix="0" xfId="0"/>
    <xf numFmtId="0" fontId="10" fillId="0" borderId="73" applyAlignment="1" pivotButton="0" quotePrefix="0" xfId="0">
      <alignment horizontal="center" vertical="center" wrapText="1"/>
    </xf>
    <xf numFmtId="0" fontId="0" fillId="0" borderId="33" pivotButton="0" quotePrefix="0" xfId="0"/>
    <xf numFmtId="0" fontId="0" fillId="0" borderId="34" pivotButton="0" quotePrefix="0" xfId="0"/>
    <xf numFmtId="0" fontId="11" fillId="0" borderId="71" applyAlignment="1" pivotButton="0" quotePrefix="0" xfId="0">
      <alignment horizontal="center" vertical="center" wrapText="1"/>
    </xf>
    <xf numFmtId="0" fontId="0" fillId="0" borderId="36" pivotButton="0" quotePrefix="0" xfId="0"/>
    <xf numFmtId="0" fontId="10" fillId="0" borderId="5" applyAlignment="1" pivotButton="0" quotePrefix="0" xfId="0">
      <alignment horizontal="left" vertical="center" wrapText="1"/>
    </xf>
    <xf numFmtId="0" fontId="10" fillId="0" borderId="4" applyAlignment="1" pivotButton="0" quotePrefix="0" xfId="0">
      <alignment horizontal="center" vertical="center" wrapText="1"/>
    </xf>
    <xf numFmtId="0" fontId="0" fillId="0" borderId="27" pivotButton="0" quotePrefix="0" xfId="0"/>
    <xf numFmtId="0" fontId="0" fillId="0" borderId="38" pivotButton="0" quotePrefix="0" xfId="0"/>
    <xf numFmtId="0" fontId="0" fillId="0" borderId="81" pivotButton="0" quotePrefix="0" xfId="0"/>
    <xf numFmtId="0" fontId="8" fillId="0" borderId="76" applyAlignment="1" pivotButton="0" quotePrefix="0" xfId="0">
      <alignment horizontal="center" vertical="center" wrapText="1"/>
    </xf>
    <xf numFmtId="0" fontId="0" fillId="0" borderId="24" pivotButton="0" quotePrefix="0" xfId="0"/>
    <xf numFmtId="0" fontId="8" fillId="0" borderId="77" applyAlignment="1" pivotButton="0" quotePrefix="0" xfId="0">
      <alignment horizontal="center" vertical="center" wrapText="1"/>
    </xf>
    <xf numFmtId="0" fontId="0" fillId="0" borderId="42" pivotButton="0" quotePrefix="0" xfId="0"/>
    <xf numFmtId="0" fontId="3" fillId="0" borderId="78" applyAlignment="1" pivotButton="0" quotePrefix="0" xfId="0">
      <alignment horizontal="left" vertical="center" wrapText="1"/>
    </xf>
    <xf numFmtId="165" fontId="20" fillId="2" borderId="1" applyAlignment="1" pivotButton="0" quotePrefix="0" xfId="0">
      <alignment horizontal="center" vertical="center" wrapText="1"/>
    </xf>
    <xf numFmtId="165" fontId="5" fillId="2" borderId="1" applyAlignment="1" pivotButton="0" quotePrefix="0" xfId="0">
      <alignment horizontal="center" vertical="center" wrapText="1"/>
    </xf>
    <xf numFmtId="165" fontId="5" fillId="2" borderId="5" applyAlignment="1" pivotButton="0" quotePrefix="0" xfId="0">
      <alignment horizontal="center" vertical="center" wrapText="1"/>
    </xf>
    <xf numFmtId="0" fontId="0" fillId="0" borderId="46" pivotButton="0" quotePrefix="0" xfId="0"/>
    <xf numFmtId="0" fontId="0" fillId="0" borderId="43" pivotButton="0" quotePrefix="0" xfId="0"/>
    <xf numFmtId="0" fontId="0" fillId="0" borderId="9" pivotButton="0" quotePrefix="0" xfId="0"/>
    <xf numFmtId="0" fontId="0" fillId="0" borderId="44" pivotButton="0" quotePrefix="0" xfId="0"/>
    <xf numFmtId="0" fontId="0" fillId="0" borderId="13" pivotButton="0" quotePrefix="0" xfId="0"/>
    <xf numFmtId="0" fontId="0" fillId="0" borderId="45" pivotButton="0" quotePrefix="0" xfId="0"/>
    <xf numFmtId="0" fontId="0" fillId="0" borderId="47" pivotButton="0" quotePrefix="0" xfId="0"/>
    <xf numFmtId="0" fontId="2" fillId="0" borderId="79" applyAlignment="1" pivotButton="0" quotePrefix="0" xfId="0">
      <alignment horizontal="right" vertical="center" wrapText="1"/>
    </xf>
    <xf numFmtId="0" fontId="0" fillId="0" borderId="48" pivotButton="0" quotePrefix="0" xfId="0"/>
    <xf numFmtId="0" fontId="0" fillId="0" borderId="7" pivotButton="0" quotePrefix="0" xfId="0"/>
    <xf numFmtId="0" fontId="2" fillId="0" borderId="78" applyAlignment="1" pivotButton="0" quotePrefix="0" xfId="0">
      <alignment horizontal="center" vertical="center" wrapText="1"/>
    </xf>
    <xf numFmtId="0" fontId="2" fillId="0" borderId="10" applyAlignment="1" pivotButton="0" quotePrefix="0" xfId="0">
      <alignment horizontal="center" wrapText="1"/>
    </xf>
    <xf numFmtId="0" fontId="0" fillId="0" borderId="39" pivotButton="0" quotePrefix="0" xfId="0"/>
    <xf numFmtId="165" fontId="5" fillId="0" borderId="5" applyAlignment="1" pivotButton="0" quotePrefix="0" xfId="0">
      <alignment horizontal="center" vertical="center" wrapText="1"/>
    </xf>
    <xf numFmtId="0" fontId="13" fillId="0" borderId="78" applyAlignment="1" pivotButton="0" quotePrefix="0" xfId="0">
      <alignment horizontal="center" vertical="top" wrapText="1"/>
    </xf>
    <xf numFmtId="0" fontId="8" fillId="0" borderId="78" applyAlignment="1" pivotButton="0" quotePrefix="0" xfId="0">
      <alignment horizontal="center" vertical="center" wrapText="1"/>
    </xf>
    <xf numFmtId="0" fontId="3" fillId="0" borderId="80" applyAlignment="1" pivotButton="0" quotePrefix="0" xfId="0">
      <alignment horizontal="left" vertical="center" wrapText="1"/>
    </xf>
    <xf numFmtId="0" fontId="0" fillId="0" borderId="50" pivotButton="0" quotePrefix="0" xfId="0"/>
    <xf numFmtId="0" fontId="0" fillId="0" borderId="51" pivotButton="0" quotePrefix="0" xfId="0"/>
    <xf numFmtId="0" fontId="8" fillId="0" borderId="11" applyAlignment="1" pivotButton="0" quotePrefix="0" xfId="0">
      <alignment horizontal="center" vertical="center" wrapText="1"/>
    </xf>
    <xf numFmtId="165" fontId="5" fillId="0" borderId="4" applyAlignment="1" pivotButton="0" quotePrefix="0" xfId="0">
      <alignment horizontal="center" vertical="center" wrapText="1"/>
    </xf>
    <xf numFmtId="165" fontId="5" fillId="0" borderId="77" applyAlignment="1" pivotButton="0" quotePrefix="0" xfId="0">
      <alignment horizontal="center" vertical="center" wrapText="1"/>
    </xf>
    <xf numFmtId="0" fontId="0" fillId="0" borderId="52" pivotButton="0" quotePrefix="0" xfId="0"/>
    <xf numFmtId="0" fontId="0" fillId="0" borderId="53" pivotButton="0" quotePrefix="0" xfId="0"/>
    <xf numFmtId="0" fontId="0" fillId="0" borderId="54" pivotButton="0" quotePrefix="0" xfId="0"/>
  </cellXfs>
  <cellStyles count="3">
    <cellStyle name="Normal" xfId="0" builtinId="0"/>
    <cellStyle name="Good" xfId="1" builtinId="26"/>
    <cellStyle name="Hyperlink" xfId="2"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comments/comment1.xml><?xml version="1.0" encoding="utf-8"?>
<comments xmlns="http://schemas.openxmlformats.org/spreadsheetml/2006/main">
  <authors>
    <author>jhueseen</author>
  </authors>
  <commentList>
    <comment ref="E5" authorId="0" shapeId="0">
      <text>
        <t>Note: Lagyan po ng date ung may pasok at blank po kung wala..
Kasabay po kc yan formula!</t>
      </text>
    </comment>
    <comment ref="AF8" authorId="0" shapeId="0">
      <text>
        <t>tardy and remarks:
pls type manually</t>
      </text>
    </comment>
    <comment ref="AD115" authorId="0" shapeId="0">
      <text>
        <t>Late enrolment 
encode manually</t>
      </text>
    </comment>
    <comment ref="AD126" authorId="0" shapeId="0">
      <text>
        <t xml:space="preserve">Number of studentes late for 5 consecutive days,Dropped out,transferred out and transferred in:
Encode manually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depedtambayanph.net/" TargetMode="External" Id="rId1"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outlinePr summaryBelow="1" summaryRight="1"/>
    <pageSetUpPr/>
  </sheetPr>
  <dimension ref="A1:H11"/>
  <sheetViews>
    <sheetView workbookViewId="0">
      <selection activeCell="I10" sqref="I10"/>
    </sheetView>
  </sheetViews>
  <sheetFormatPr baseColWidth="8" defaultRowHeight="13.2"/>
  <cols>
    <col width="28.44140625" customWidth="1" style="51" min="1" max="1"/>
    <col width="18.6640625" customWidth="1" style="51" min="2" max="2"/>
    <col width="18.5546875" customWidth="1" style="51" min="3" max="3"/>
  </cols>
  <sheetData>
    <row r="1" ht="24" customHeight="1" s="51" thickBot="1">
      <c r="A1" s="5" t="inlineStr">
        <is>
          <t>School Name:</t>
        </is>
      </c>
      <c r="B1" s="173" t="inlineStr">
        <is>
          <t>AEGIS QA National High School</t>
        </is>
      </c>
      <c r="C1" s="181" t="n"/>
      <c r="D1" s="181" t="n"/>
      <c r="E1" s="181" t="n"/>
      <c r="F1" s="182" t="n"/>
    </row>
    <row r="2" ht="24" customHeight="1" s="51" thickBot="1">
      <c r="A2" s="5" t="inlineStr">
        <is>
          <t>Section:</t>
        </is>
      </c>
      <c r="B2" s="173" t="inlineStr">
        <is>
          <t>Mabini</t>
        </is>
      </c>
      <c r="C2" s="181" t="n"/>
      <c r="D2" s="181" t="n"/>
      <c r="E2" s="181" t="n"/>
      <c r="F2" s="182" t="n"/>
    </row>
    <row r="3" ht="24" customHeight="1" s="51" thickBot="1">
      <c r="A3" s="5" t="inlineStr">
        <is>
          <t>School ID:</t>
        </is>
      </c>
      <c r="B3" s="173" t="inlineStr">
        <is>
          <t>123456</t>
        </is>
      </c>
      <c r="C3" s="181" t="n"/>
      <c r="D3" s="181" t="n"/>
      <c r="E3" s="181" t="n"/>
      <c r="F3" s="182" t="n"/>
    </row>
    <row r="4" ht="24" customHeight="1" s="51" thickBot="1">
      <c r="A4" s="5" t="inlineStr">
        <is>
          <t>School Year:</t>
        </is>
      </c>
      <c r="B4" s="173" t="inlineStr">
        <is>
          <t>2026-2027</t>
        </is>
      </c>
      <c r="C4" s="181" t="n"/>
      <c r="D4" s="181" t="n"/>
      <c r="E4" s="181" t="n"/>
      <c r="F4" s="182" t="n"/>
    </row>
    <row r="5" ht="24" customHeight="1" s="51" thickBot="1">
      <c r="A5" s="5" t="inlineStr">
        <is>
          <t>Grade Level:</t>
        </is>
      </c>
      <c r="B5" s="173" t="n">
        <v>9</v>
      </c>
      <c r="C5" s="181" t="n"/>
      <c r="D5" s="181" t="n"/>
      <c r="E5" s="181" t="n"/>
      <c r="F5" s="182" t="n"/>
    </row>
    <row r="6" ht="24" customHeight="1" s="51" thickBot="1">
      <c r="A6" s="5" t="inlineStr">
        <is>
          <t>Month of:</t>
        </is>
      </c>
      <c r="B6" s="173" t="inlineStr">
        <is>
          <t>September</t>
        </is>
      </c>
      <c r="C6" s="181" t="n"/>
      <c r="D6" s="181" t="n"/>
      <c r="E6" s="181" t="n"/>
      <c r="F6" s="182" t="n"/>
      <c r="H6" s="179" t="inlineStr">
        <is>
          <t xml:space="preserve">More forms at </t>
        </is>
      </c>
    </row>
    <row r="7" ht="24" customHeight="1" s="51" thickBot="1">
      <c r="A7" s="5" t="inlineStr">
        <is>
          <t>Adviser:</t>
        </is>
      </c>
      <c r="B7" s="173" t="inlineStr">
        <is>
          <t>EUNICE FERNANDEZ</t>
        </is>
      </c>
      <c r="C7" s="181" t="n"/>
      <c r="D7" s="181" t="n"/>
      <c r="E7" s="181" t="n"/>
      <c r="F7" s="182" t="n"/>
      <c r="H7" s="180" t="inlineStr">
        <is>
          <t>www.depedtambayanph.net</t>
        </is>
      </c>
    </row>
    <row r="8" ht="24" customHeight="1" s="51" thickBot="1">
      <c r="A8" s="5" t="inlineStr">
        <is>
          <t>School Head:</t>
        </is>
      </c>
      <c r="B8" s="173" t="n"/>
      <c r="C8" s="181" t="n"/>
      <c r="D8" s="181" t="n"/>
      <c r="E8" s="181" t="n"/>
      <c r="F8" s="182" t="n"/>
    </row>
    <row r="9" ht="24" customHeight="1" s="51" thickBot="1">
      <c r="A9" s="5" t="n"/>
      <c r="B9" s="6" t="inlineStr">
        <is>
          <t>Male</t>
        </is>
      </c>
      <c r="C9" s="6" t="inlineStr">
        <is>
          <t>Female</t>
        </is>
      </c>
      <c r="D9" s="7" t="n"/>
      <c r="E9" s="7" t="n"/>
      <c r="F9" s="7" t="n"/>
    </row>
    <row r="10" ht="24" customHeight="1" s="51" thickBot="1">
      <c r="A10" s="8" t="inlineStr">
        <is>
          <t>* Enrolment  (as of 1st Friday of June):</t>
        </is>
      </c>
      <c r="B10" s="177" t="n"/>
      <c r="C10" s="177" t="n"/>
      <c r="D10" s="7" t="n"/>
      <c r="E10" s="7" t="n"/>
      <c r="F10" s="7" t="n"/>
    </row>
    <row r="11">
      <c r="A11" s="178" t="inlineStr">
        <is>
          <t>CREDITS TO: Jussan Gniraor</t>
        </is>
      </c>
    </row>
  </sheetData>
  <sheetProtection selectLockedCells="0" selectUnlockedCells="0" algorithmName="SHA-512" sheet="1" objects="1" insertRows="1" insertHyperlinks="1" autoFilter="1" scenarios="1" formatColumns="1" deleteColumns="1" insertColumns="1" pivotTables="1" deleteRows="1" formatCells="1" saltValue="k2h3GDkZbc7N5wEugWXFrA==" formatRows="1" sort="1" spinCount="100000" hashValue="plPNZZ7ImV1IAgan/7mxvxLhoWDdmwfTY5PV7+fs7CUB+DHk5fJqaQphHu0IplR7ch4+lPoYf9cD2JUN8uAYdg=="/>
  <mergeCells count="9">
    <mergeCell ref="B4:F4"/>
    <mergeCell ref="B7:F7"/>
    <mergeCell ref="B6:F6"/>
    <mergeCell ref="B2:F2"/>
    <mergeCell ref="B3:F3"/>
    <mergeCell ref="B5:F5"/>
    <mergeCell ref="A11:E11"/>
    <mergeCell ref="B1:F1"/>
    <mergeCell ref="B8:F8"/>
  </mergeCells>
  <hyperlinks>
    <hyperlink xmlns:r="http://schemas.openxmlformats.org/officeDocument/2006/relationships" ref="H7" r:id="rId1"/>
  </hyperlinks>
  <pageMargins left="0.7" right="0.7" top="0.75" bottom="0.75" header="0.3" footer="0.3"/>
  <pageSetup orientation="portrait" horizontalDpi="0" verticalDpi="0"/>
</worksheet>
</file>

<file path=xl/worksheets/sheet2.xml><?xml version="1.0" encoding="utf-8"?>
<worksheet xmlns="http://schemas.openxmlformats.org/spreadsheetml/2006/main">
  <sheetPr>
    <outlinePr summaryBelow="1" summaryRight="1"/>
    <pageSetUpPr/>
  </sheetPr>
  <dimension ref="A1:AL143"/>
  <sheetViews>
    <sheetView tabSelected="1" zoomScale="140" zoomScaleNormal="140" workbookViewId="0">
      <selection activeCell="A1" sqref="A1:AL1"/>
    </sheetView>
  </sheetViews>
  <sheetFormatPr baseColWidth="8" defaultRowHeight="13.2"/>
  <cols>
    <col width="3.5546875" customWidth="1" style="51" min="1" max="1"/>
    <col width="14.109375" bestFit="1" customWidth="1" style="51" min="2" max="2"/>
    <col width="8.6640625" bestFit="1" customWidth="1" style="51" min="3" max="3"/>
    <col width="0.109375" bestFit="1" customWidth="1" style="51" min="4" max="4"/>
    <col width="2.88671875" customWidth="1" style="51" min="5" max="29"/>
    <col width="1.6640625" bestFit="1" customWidth="1" style="51" min="30" max="30"/>
    <col width="5" bestFit="1" customWidth="1" style="51" min="31" max="32"/>
    <col width="1.6640625" bestFit="1" customWidth="1" style="51" min="33" max="33"/>
    <col width="10.109375" bestFit="1" customWidth="1" style="51" min="34" max="34"/>
    <col width="3.44140625" bestFit="1" customWidth="1" style="51" min="35" max="36"/>
    <col width="6.6640625" bestFit="1" customWidth="1" style="51" min="37" max="37"/>
    <col width="0.33203125" bestFit="1" customWidth="1" style="51" min="38" max="38"/>
  </cols>
  <sheetData>
    <row r="1" ht="30" customHeight="1" s="51">
      <c r="A1" s="171" t="inlineStr">
        <is>
          <t>School Form 2 (SF2) Daily Attendance Report of Learners</t>
        </is>
      </c>
    </row>
    <row r="2" ht="20.1" customHeight="1" s="51">
      <c r="A2" s="172" t="inlineStr">
        <is>
          <t>(This replaces Form 1, Form 2 &amp; STS Form 4 - Absenteeism and Dropout Profile)</t>
        </is>
      </c>
    </row>
    <row r="3" ht="20.1" customHeight="1" s="51">
      <c r="A3" s="167" t="inlineStr">
        <is>
          <t xml:space="preserve">School ID </t>
        </is>
      </c>
      <c r="D3" s="1" t="n"/>
      <c r="E3" s="183">
        <f>COVER!B3</f>
        <v/>
      </c>
      <c r="F3" s="184" t="n"/>
      <c r="G3" s="185" t="n"/>
      <c r="H3" s="167" t="inlineStr">
        <is>
          <t xml:space="preserve">School Year </t>
        </is>
      </c>
      <c r="K3" s="183">
        <f>COVER!B4</f>
        <v/>
      </c>
      <c r="L3" s="184" t="n"/>
      <c r="M3" s="184" t="n"/>
      <c r="N3" s="185" t="n"/>
      <c r="O3" s="167" t="inlineStr">
        <is>
          <t>Report for the Month of</t>
        </is>
      </c>
      <c r="U3" s="183">
        <f>COVER!B6</f>
        <v/>
      </c>
      <c r="V3" s="184" t="n"/>
      <c r="W3" s="184" t="n"/>
      <c r="X3" s="184" t="n"/>
      <c r="Y3" s="184" t="n"/>
      <c r="Z3" s="185" t="n"/>
      <c r="AA3" s="1" t="n"/>
      <c r="AB3" s="1" t="n"/>
      <c r="AC3" s="1" t="n"/>
      <c r="AD3" s="1" t="n"/>
      <c r="AE3" s="1" t="n"/>
      <c r="AF3" s="1" t="n"/>
      <c r="AG3" s="1" t="n"/>
      <c r="AH3" s="1" t="n"/>
      <c r="AI3" s="1" t="n"/>
      <c r="AJ3" s="1" t="n"/>
      <c r="AK3" s="1" t="n"/>
      <c r="AL3" s="1" t="n"/>
    </row>
    <row r="4" ht="20.1" customHeight="1" s="51" thickBot="1">
      <c r="A4" s="167" t="inlineStr">
        <is>
          <t>Name of School</t>
        </is>
      </c>
      <c r="D4" s="1" t="n"/>
      <c r="E4" s="183">
        <f>COVER!B1</f>
        <v/>
      </c>
      <c r="F4" s="184" t="n"/>
      <c r="G4" s="184" t="n"/>
      <c r="H4" s="184" t="n"/>
      <c r="I4" s="184" t="n"/>
      <c r="J4" s="184" t="n"/>
      <c r="K4" s="184" t="n"/>
      <c r="L4" s="184" t="n"/>
      <c r="M4" s="184" t="n"/>
      <c r="N4" s="185" t="n"/>
      <c r="O4" s="167" t="inlineStr">
        <is>
          <t>Grade Level</t>
        </is>
      </c>
      <c r="U4" s="183">
        <f>COVER!B5</f>
        <v/>
      </c>
      <c r="V4" s="184" t="n"/>
      <c r="W4" s="184" t="n"/>
      <c r="X4" s="184" t="n"/>
      <c r="Y4" s="184" t="n"/>
      <c r="Z4" s="185" t="n"/>
      <c r="AA4" s="167" t="inlineStr">
        <is>
          <t xml:space="preserve">Section </t>
        </is>
      </c>
      <c r="AD4" s="183">
        <f>COVER!B2</f>
        <v/>
      </c>
      <c r="AE4" s="184" t="n"/>
      <c r="AF4" s="184" t="n"/>
      <c r="AG4" s="184" t="n"/>
      <c r="AH4" s="184" t="n"/>
      <c r="AI4" s="184" t="n"/>
      <c r="AJ4" s="184" t="n"/>
      <c r="AK4" s="184" t="n"/>
      <c r="AL4" s="185" t="n"/>
    </row>
    <row r="5" ht="9.9" customHeight="1" s="51" thickBot="1">
      <c r="A5" s="186" t="inlineStr">
        <is>
          <t>No.</t>
        </is>
      </c>
      <c r="B5" s="187" t="inlineStr">
        <is>
          <t>NAME
(Last Name, First Name, Middle Name)</t>
        </is>
      </c>
      <c r="C5" s="188" t="n"/>
      <c r="D5" s="189" t="n"/>
      <c r="E5" s="190" t="inlineStr">
        <is>
          <t>(1st row for date)</t>
        </is>
      </c>
      <c r="AC5" s="191" t="n"/>
      <c r="AD5" s="192" t="inlineStr">
        <is>
          <t>Total for the Month</t>
        </is>
      </c>
      <c r="AG5" s="193" t="n"/>
      <c r="AH5" s="194" t="inlineStr">
        <is>
          <t>REMARKS (If DROPPED OUT, state reason, please refer to legend number 2. If TRANSFERRED IN/OUT, write the name of School.)</t>
        </is>
      </c>
      <c r="AL5" s="193" t="n"/>
    </row>
    <row r="6" ht="15" customHeight="1" s="51" thickBot="1">
      <c r="A6" s="195" t="n"/>
      <c r="B6" s="195" t="n"/>
      <c r="D6" s="193" t="n"/>
      <c r="E6" s="23" t="n">
        <v>7</v>
      </c>
      <c r="F6" s="24" t="n">
        <v>8</v>
      </c>
      <c r="G6" s="24" t="n">
        <v>9</v>
      </c>
      <c r="H6" s="24" t="n">
        <v>10</v>
      </c>
      <c r="I6" s="26" t="n">
        <v>11</v>
      </c>
      <c r="J6" s="27" t="n"/>
      <c r="K6" s="24" t="n"/>
      <c r="L6" s="24" t="n"/>
      <c r="M6" s="24" t="n"/>
      <c r="N6" s="26" t="n"/>
      <c r="O6" s="27" t="n"/>
      <c r="P6" s="24" t="n"/>
      <c r="Q6" s="24" t="n"/>
      <c r="R6" s="24" t="n"/>
      <c r="S6" s="26" t="n"/>
      <c r="T6" s="27" t="n"/>
      <c r="U6" s="24" t="n"/>
      <c r="V6" s="24" t="n"/>
      <c r="W6" s="24" t="n"/>
      <c r="X6" s="26" t="n"/>
      <c r="Y6" s="27" t="n"/>
      <c r="Z6" s="24" t="n"/>
      <c r="AA6" s="24" t="n"/>
      <c r="AB6" s="24" t="n"/>
      <c r="AC6" s="25" t="n"/>
      <c r="AD6" s="196" t="n"/>
      <c r="AE6" s="197" t="n"/>
      <c r="AF6" s="197" t="n"/>
      <c r="AG6" s="198" t="n"/>
      <c r="AH6" s="195" t="n"/>
      <c r="AL6" s="193" t="n"/>
    </row>
    <row r="7" ht="15" customHeight="1" s="51" thickBot="1">
      <c r="A7" s="196" t="n"/>
      <c r="B7" s="196" t="n"/>
      <c r="C7" s="197" t="n"/>
      <c r="D7" s="198" t="n"/>
      <c r="E7" s="30" t="inlineStr">
        <is>
          <t>M</t>
        </is>
      </c>
      <c r="F7" s="31" t="inlineStr">
        <is>
          <t>T</t>
        </is>
      </c>
      <c r="G7" s="31" t="inlineStr">
        <is>
          <t>W</t>
        </is>
      </c>
      <c r="H7" s="31" t="inlineStr">
        <is>
          <t>TH</t>
        </is>
      </c>
      <c r="I7" s="31" t="inlineStr">
        <is>
          <t>F</t>
        </is>
      </c>
      <c r="J7" s="30" t="inlineStr">
        <is>
          <t>M</t>
        </is>
      </c>
      <c r="K7" s="31" t="inlineStr">
        <is>
          <t>T</t>
        </is>
      </c>
      <c r="L7" s="31" t="inlineStr">
        <is>
          <t>W</t>
        </is>
      </c>
      <c r="M7" s="31" t="inlineStr">
        <is>
          <t>TH</t>
        </is>
      </c>
      <c r="N7" s="35" t="inlineStr">
        <is>
          <t>F</t>
        </is>
      </c>
      <c r="O7" s="36" t="inlineStr">
        <is>
          <t>M</t>
        </is>
      </c>
      <c r="P7" s="31" t="inlineStr">
        <is>
          <t>T</t>
        </is>
      </c>
      <c r="Q7" s="31" t="inlineStr">
        <is>
          <t>W</t>
        </is>
      </c>
      <c r="R7" s="32" t="inlineStr">
        <is>
          <t>TH</t>
        </is>
      </c>
      <c r="S7" s="32" t="inlineStr">
        <is>
          <t>F</t>
        </is>
      </c>
      <c r="T7" s="30" t="inlineStr">
        <is>
          <t>M</t>
        </is>
      </c>
      <c r="U7" s="31" t="inlineStr">
        <is>
          <t>T</t>
        </is>
      </c>
      <c r="V7" s="31" t="inlineStr">
        <is>
          <t>W</t>
        </is>
      </c>
      <c r="W7" s="31" t="inlineStr">
        <is>
          <t>TH</t>
        </is>
      </c>
      <c r="X7" s="31" t="inlineStr">
        <is>
          <t>F</t>
        </is>
      </c>
      <c r="Y7" s="33" t="inlineStr">
        <is>
          <t>M</t>
        </is>
      </c>
      <c r="Z7" s="35" t="inlineStr">
        <is>
          <t>T</t>
        </is>
      </c>
      <c r="AA7" s="31" t="inlineStr">
        <is>
          <t>W</t>
        </is>
      </c>
      <c r="AB7" s="31" t="inlineStr">
        <is>
          <t>TH</t>
        </is>
      </c>
      <c r="AC7" s="32" t="inlineStr">
        <is>
          <t>F</t>
        </is>
      </c>
      <c r="AD7" s="199" t="inlineStr">
        <is>
          <t>ABSENT</t>
        </is>
      </c>
      <c r="AE7" s="200" t="n"/>
      <c r="AF7" s="199" t="inlineStr">
        <is>
          <t>TARDY</t>
        </is>
      </c>
      <c r="AG7" s="200" t="n"/>
      <c r="AH7" s="196" t="n"/>
      <c r="AI7" s="197" t="n"/>
      <c r="AJ7" s="197" t="n"/>
      <c r="AK7" s="197" t="n"/>
      <c r="AL7" s="198" t="n"/>
    </row>
    <row r="8" ht="20.1" customHeight="1" s="51">
      <c r="A8" s="3" t="n">
        <v>1</v>
      </c>
      <c r="B8" s="201" t="inlineStr">
        <is>
          <t>AEGIS-QA-S0051</t>
        </is>
      </c>
      <c r="C8" s="184" t="n"/>
      <c r="D8" s="185" t="n"/>
      <c r="E8" s="9" t="inlineStr"/>
      <c r="F8" s="10" t="inlineStr"/>
      <c r="G8" s="10" t="inlineStr"/>
      <c r="H8" s="10" t="inlineStr"/>
      <c r="I8" s="14" t="inlineStr"/>
      <c r="J8" s="9" t="inlineStr"/>
      <c r="K8" s="10" t="inlineStr"/>
      <c r="L8" s="10" t="inlineStr"/>
      <c r="M8" s="10" t="inlineStr"/>
      <c r="N8" s="14" t="inlineStr"/>
      <c r="O8" s="11" t="n"/>
      <c r="P8" s="10" t="inlineStr"/>
      <c r="Q8" s="10" t="inlineStr"/>
      <c r="R8" s="11" t="n"/>
      <c r="S8" s="15" t="n"/>
      <c r="T8" s="9" t="inlineStr"/>
      <c r="U8" s="10" t="inlineStr"/>
      <c r="V8" s="10" t="inlineStr"/>
      <c r="W8" s="10" t="inlineStr"/>
      <c r="X8" s="14" t="inlineStr"/>
      <c r="Y8" s="12" t="inlineStr"/>
      <c r="Z8" s="13" t="inlineStr"/>
      <c r="AA8" s="10" t="inlineStr"/>
      <c r="AB8" s="10" t="inlineStr"/>
      <c r="AC8" s="15" t="n"/>
      <c r="AD8" s="202">
        <f>COUNTIF(E8:AC8,"x")</f>
        <v/>
      </c>
      <c r="AE8" s="203" t="n"/>
      <c r="AF8" s="204" t="inlineStr"/>
      <c r="AG8" s="205" t="n"/>
      <c r="AH8" s="206" t="inlineStr"/>
      <c r="AI8" s="184" t="n"/>
      <c r="AJ8" s="184" t="n"/>
      <c r="AK8" s="184" t="n"/>
      <c r="AL8" s="205" t="n"/>
    </row>
    <row r="9" ht="20.1" customHeight="1" s="51">
      <c r="A9" s="3" t="n">
        <v>2</v>
      </c>
      <c r="B9" s="201" t="inlineStr">
        <is>
          <t>AEGIS-QA-S0052</t>
        </is>
      </c>
      <c r="C9" s="184" t="n"/>
      <c r="D9" s="185" t="n"/>
      <c r="E9" s="9" t="inlineStr"/>
      <c r="F9" s="10" t="inlineStr">
        <is>
          <t>L</t>
        </is>
      </c>
      <c r="G9" s="10" t="inlineStr"/>
      <c r="H9" s="10" t="inlineStr"/>
      <c r="I9" s="14" t="inlineStr"/>
      <c r="J9" s="9" t="inlineStr"/>
      <c r="K9" s="10" t="inlineStr"/>
      <c r="L9" s="10" t="inlineStr"/>
      <c r="M9" s="10" t="inlineStr"/>
      <c r="N9" s="14" t="inlineStr"/>
      <c r="O9" s="11" t="n"/>
      <c r="P9" s="10" t="inlineStr"/>
      <c r="Q9" s="10" t="inlineStr"/>
      <c r="R9" s="11" t="n"/>
      <c r="S9" s="15" t="n"/>
      <c r="T9" s="9" t="inlineStr"/>
      <c r="U9" s="10" t="inlineStr"/>
      <c r="V9" s="10" t="inlineStr"/>
      <c r="W9" s="10" t="inlineStr"/>
      <c r="X9" s="14" t="inlineStr"/>
      <c r="Y9" s="12" t="inlineStr"/>
      <c r="Z9" s="13" t="inlineStr"/>
      <c r="AA9" s="10" t="inlineStr"/>
      <c r="AB9" s="10" t="inlineStr"/>
      <c r="AC9" s="15" t="n"/>
      <c r="AD9" s="204">
        <f>COUNTIF(E9:AC9,"x")</f>
        <v/>
      </c>
      <c r="AE9" s="205" t="n"/>
      <c r="AF9" s="204" t="inlineStr"/>
      <c r="AG9" s="205" t="n"/>
      <c r="AH9" s="206" t="inlineStr"/>
      <c r="AI9" s="184" t="n"/>
      <c r="AJ9" s="184" t="n"/>
      <c r="AK9" s="184" t="n"/>
      <c r="AL9" s="205" t="n"/>
    </row>
    <row r="10" ht="20.1" customHeight="1" s="51">
      <c r="A10" s="3" t="n">
        <v>3</v>
      </c>
      <c r="B10" s="201" t="inlineStr">
        <is>
          <t>AEGIS-QA-S0053</t>
        </is>
      </c>
      <c r="C10" s="184" t="n"/>
      <c r="D10" s="185" t="n"/>
      <c r="E10" s="9" t="inlineStr">
        <is>
          <t>X</t>
        </is>
      </c>
      <c r="F10" s="10" t="inlineStr"/>
      <c r="G10" s="10" t="inlineStr"/>
      <c r="H10" s="10" t="inlineStr">
        <is>
          <t>X</t>
        </is>
      </c>
      <c r="I10" s="14" t="inlineStr"/>
      <c r="J10" s="9" t="inlineStr"/>
      <c r="K10" s="10" t="inlineStr"/>
      <c r="L10" s="10" t="inlineStr"/>
      <c r="M10" s="10" t="inlineStr"/>
      <c r="N10" s="14" t="inlineStr"/>
      <c r="O10" s="11" t="n"/>
      <c r="P10" s="10" t="inlineStr"/>
      <c r="Q10" s="10" t="inlineStr"/>
      <c r="R10" s="11" t="n"/>
      <c r="S10" s="15" t="n"/>
      <c r="T10" s="9" t="inlineStr"/>
      <c r="U10" s="10" t="inlineStr"/>
      <c r="V10" s="10" t="inlineStr"/>
      <c r="W10" s="10" t="inlineStr"/>
      <c r="X10" s="14" t="inlineStr"/>
      <c r="Y10" s="12" t="inlineStr"/>
      <c r="Z10" s="13" t="inlineStr"/>
      <c r="AA10" s="10" t="inlineStr"/>
      <c r="AB10" s="10" t="inlineStr"/>
      <c r="AC10" s="15" t="n"/>
      <c r="AD10" s="204">
        <f>COUNTIF(E10:AC10,"x")</f>
        <v/>
      </c>
      <c r="AE10" s="205" t="n"/>
      <c r="AF10" s="204" t="inlineStr"/>
      <c r="AG10" s="205" t="n"/>
      <c r="AH10" s="206" t="inlineStr"/>
      <c r="AI10" s="184" t="n"/>
      <c r="AJ10" s="184" t="n"/>
      <c r="AK10" s="184" t="n"/>
      <c r="AL10" s="205" t="n"/>
    </row>
    <row r="11" ht="20.1" customHeight="1" s="51">
      <c r="A11" s="3" t="n">
        <v>4</v>
      </c>
      <c r="B11" s="201" t="inlineStr">
        <is>
          <t>AEGIS-QA-S0054</t>
        </is>
      </c>
      <c r="C11" s="184" t="n"/>
      <c r="D11" s="185" t="n"/>
      <c r="E11" s="9" t="inlineStr"/>
      <c r="F11" s="10" t="inlineStr"/>
      <c r="G11" s="10" t="inlineStr"/>
      <c r="H11" s="10" t="inlineStr"/>
      <c r="I11" s="14" t="inlineStr"/>
      <c r="J11" s="9" t="inlineStr"/>
      <c r="K11" s="10" t="inlineStr"/>
      <c r="L11" s="10" t="inlineStr"/>
      <c r="M11" s="10" t="inlineStr"/>
      <c r="N11" s="14" t="inlineStr"/>
      <c r="O11" s="11" t="n"/>
      <c r="P11" s="10" t="inlineStr"/>
      <c r="Q11" s="10" t="inlineStr"/>
      <c r="R11" s="11" t="n"/>
      <c r="S11" s="15" t="n"/>
      <c r="T11" s="9" t="inlineStr"/>
      <c r="U11" s="10" t="inlineStr"/>
      <c r="V11" s="10" t="inlineStr"/>
      <c r="W11" s="10" t="inlineStr"/>
      <c r="X11" s="14" t="inlineStr"/>
      <c r="Y11" s="12" t="inlineStr"/>
      <c r="Z11" s="13" t="inlineStr"/>
      <c r="AA11" s="10" t="inlineStr"/>
      <c r="AB11" s="10" t="inlineStr"/>
      <c r="AC11" s="15" t="n"/>
      <c r="AD11" s="204">
        <f>COUNTIF(E11:AC11,"x")</f>
        <v/>
      </c>
      <c r="AE11" s="205" t="n"/>
      <c r="AF11" s="204" t="inlineStr"/>
      <c r="AG11" s="205" t="n"/>
      <c r="AH11" s="206" t="inlineStr"/>
      <c r="AI11" s="184" t="n"/>
      <c r="AJ11" s="184" t="n"/>
      <c r="AK11" s="184" t="n"/>
      <c r="AL11" s="205" t="n"/>
    </row>
    <row r="12" ht="20.1" customHeight="1" s="51">
      <c r="A12" s="3" t="n">
        <v>5</v>
      </c>
      <c r="B12" s="201" t="inlineStr">
        <is>
          <t>AEGIS-QA-S0055</t>
        </is>
      </c>
      <c r="C12" s="184" t="n"/>
      <c r="D12" s="185" t="n"/>
      <c r="E12" s="9" t="inlineStr"/>
      <c r="F12" s="10" t="inlineStr"/>
      <c r="G12" s="10" t="inlineStr"/>
      <c r="H12" s="10" t="inlineStr"/>
      <c r="I12" s="14" t="inlineStr"/>
      <c r="J12" s="9" t="inlineStr"/>
      <c r="K12" s="10" t="inlineStr"/>
      <c r="L12" s="10" t="inlineStr"/>
      <c r="M12" s="10" t="inlineStr"/>
      <c r="N12" s="14" t="inlineStr"/>
      <c r="O12" s="11" t="n"/>
      <c r="P12" s="10" t="inlineStr"/>
      <c r="Q12" s="10" t="inlineStr"/>
      <c r="R12" s="11" t="n"/>
      <c r="S12" s="15" t="n"/>
      <c r="T12" s="9" t="inlineStr"/>
      <c r="U12" s="10" t="inlineStr"/>
      <c r="V12" s="10" t="inlineStr"/>
      <c r="W12" s="10" t="inlineStr"/>
      <c r="X12" s="14" t="inlineStr"/>
      <c r="Y12" s="12" t="inlineStr"/>
      <c r="Z12" s="13" t="inlineStr"/>
      <c r="AA12" s="10" t="inlineStr"/>
      <c r="AB12" s="10" t="inlineStr"/>
      <c r="AC12" s="15" t="n"/>
      <c r="AD12" s="204">
        <f>COUNTIF(E12:AC12,"x")</f>
        <v/>
      </c>
      <c r="AE12" s="205" t="n"/>
      <c r="AF12" s="204" t="inlineStr"/>
      <c r="AG12" s="205" t="n"/>
      <c r="AH12" s="206" t="inlineStr"/>
      <c r="AI12" s="184" t="n"/>
      <c r="AJ12" s="184" t="n"/>
      <c r="AK12" s="184" t="n"/>
      <c r="AL12" s="205" t="n"/>
    </row>
    <row r="13" ht="20.1" customHeight="1" s="51">
      <c r="A13" s="3" t="n">
        <v>6</v>
      </c>
      <c r="B13" s="201" t="inlineStr">
        <is>
          <t>AEGIS-QA-S0056</t>
        </is>
      </c>
      <c r="C13" s="184" t="n"/>
      <c r="D13" s="185" t="n"/>
      <c r="E13" s="9" t="inlineStr">
        <is>
          <t>L</t>
        </is>
      </c>
      <c r="F13" s="10" t="inlineStr">
        <is>
          <t>X</t>
        </is>
      </c>
      <c r="G13" s="10" t="inlineStr"/>
      <c r="H13" s="10" t="inlineStr">
        <is>
          <t>L</t>
        </is>
      </c>
      <c r="I13" s="14" t="inlineStr">
        <is>
          <t>L</t>
        </is>
      </c>
      <c r="J13" s="9" t="inlineStr"/>
      <c r="K13" s="10" t="inlineStr"/>
      <c r="L13" s="10" t="inlineStr"/>
      <c r="M13" s="10" t="inlineStr"/>
      <c r="N13" s="14" t="inlineStr"/>
      <c r="O13" s="11" t="n"/>
      <c r="P13" s="10" t="inlineStr"/>
      <c r="Q13" s="10" t="inlineStr"/>
      <c r="R13" s="11" t="n"/>
      <c r="S13" s="15" t="n"/>
      <c r="T13" s="9" t="inlineStr"/>
      <c r="U13" s="10" t="inlineStr"/>
      <c r="V13" s="10" t="inlineStr"/>
      <c r="W13" s="10" t="inlineStr"/>
      <c r="X13" s="14" t="inlineStr"/>
      <c r="Y13" s="12" t="inlineStr"/>
      <c r="Z13" s="13" t="inlineStr"/>
      <c r="AA13" s="10" t="inlineStr"/>
      <c r="AB13" s="10" t="inlineStr"/>
      <c r="AC13" s="15" t="n"/>
      <c r="AD13" s="204">
        <f>COUNTIF(E13:AC13,"x")</f>
        <v/>
      </c>
      <c r="AE13" s="205" t="n"/>
      <c r="AF13" s="204" t="inlineStr"/>
      <c r="AG13" s="205" t="n"/>
      <c r="AH13" s="206" t="inlineStr"/>
      <c r="AI13" s="184" t="n"/>
      <c r="AJ13" s="184" t="n"/>
      <c r="AK13" s="184" t="n"/>
      <c r="AL13" s="205" t="n"/>
    </row>
    <row r="14" ht="20.1" customHeight="1" s="51">
      <c r="A14" s="3" t="n">
        <v>7</v>
      </c>
      <c r="B14" s="201" t="inlineStr">
        <is>
          <t>AEGIS-QA-S0057</t>
        </is>
      </c>
      <c r="C14" s="184" t="n"/>
      <c r="D14" s="185" t="n"/>
      <c r="E14" s="9" t="inlineStr"/>
      <c r="F14" s="10" t="inlineStr"/>
      <c r="G14" s="10" t="inlineStr"/>
      <c r="H14" s="10" t="inlineStr"/>
      <c r="I14" s="14" t="inlineStr"/>
      <c r="J14" s="9" t="inlineStr"/>
      <c r="K14" s="10" t="inlineStr"/>
      <c r="L14" s="10" t="inlineStr"/>
      <c r="M14" s="10" t="inlineStr"/>
      <c r="N14" s="14" t="inlineStr"/>
      <c r="O14" s="11" t="n"/>
      <c r="P14" s="10" t="inlineStr"/>
      <c r="Q14" s="10" t="inlineStr"/>
      <c r="R14" s="11" t="n"/>
      <c r="S14" s="15" t="n"/>
      <c r="T14" s="9" t="inlineStr"/>
      <c r="U14" s="10" t="inlineStr"/>
      <c r="V14" s="10" t="inlineStr"/>
      <c r="W14" s="10" t="inlineStr"/>
      <c r="X14" s="14" t="inlineStr"/>
      <c r="Y14" s="12" t="inlineStr"/>
      <c r="Z14" s="13" t="inlineStr"/>
      <c r="AA14" s="10" t="inlineStr"/>
      <c r="AB14" s="10" t="inlineStr"/>
      <c r="AC14" s="15" t="n"/>
      <c r="AD14" s="204">
        <f>COUNTIF(E14:AC14,"x")</f>
        <v/>
      </c>
      <c r="AE14" s="205" t="n"/>
      <c r="AF14" s="204" t="inlineStr"/>
      <c r="AG14" s="205" t="n"/>
      <c r="AH14" s="206" t="inlineStr"/>
      <c r="AI14" s="184" t="n"/>
      <c r="AJ14" s="184" t="n"/>
      <c r="AK14" s="184" t="n"/>
      <c r="AL14" s="205" t="n"/>
    </row>
    <row r="15" ht="20.1" customHeight="1" s="51">
      <c r="A15" s="3" t="n">
        <v>8</v>
      </c>
      <c r="B15" s="201" t="inlineStr">
        <is>
          <t>AEGIS-QA-S0058</t>
        </is>
      </c>
      <c r="C15" s="184" t="n"/>
      <c r="D15" s="185" t="n"/>
      <c r="E15" s="9" t="inlineStr"/>
      <c r="F15" s="10" t="inlineStr"/>
      <c r="G15" s="10" t="inlineStr"/>
      <c r="H15" s="10" t="inlineStr"/>
      <c r="I15" s="14" t="inlineStr"/>
      <c r="J15" s="9" t="inlineStr"/>
      <c r="K15" s="10" t="inlineStr"/>
      <c r="L15" s="10" t="inlineStr"/>
      <c r="M15" s="10" t="inlineStr"/>
      <c r="N15" s="14" t="inlineStr"/>
      <c r="O15" s="11" t="n"/>
      <c r="P15" s="10" t="inlineStr"/>
      <c r="Q15" s="10" t="inlineStr"/>
      <c r="R15" s="11" t="n"/>
      <c r="S15" s="15" t="n"/>
      <c r="T15" s="9" t="inlineStr"/>
      <c r="U15" s="10" t="inlineStr"/>
      <c r="V15" s="10" t="inlineStr"/>
      <c r="W15" s="10" t="inlineStr"/>
      <c r="X15" s="14" t="inlineStr"/>
      <c r="Y15" s="12" t="inlineStr"/>
      <c r="Z15" s="13" t="inlineStr"/>
      <c r="AA15" s="10" t="inlineStr"/>
      <c r="AB15" s="10" t="inlineStr"/>
      <c r="AC15" s="15" t="n"/>
      <c r="AD15" s="204">
        <f>COUNTIF(E15:AC15,"x")</f>
        <v/>
      </c>
      <c r="AE15" s="205" t="n"/>
      <c r="AF15" s="204" t="inlineStr"/>
      <c r="AG15" s="205" t="n"/>
      <c r="AH15" s="206" t="inlineStr"/>
      <c r="AI15" s="184" t="n"/>
      <c r="AJ15" s="184" t="n"/>
      <c r="AK15" s="184" t="n"/>
      <c r="AL15" s="205" t="n"/>
    </row>
    <row r="16" ht="20.1" customHeight="1" s="51">
      <c r="A16" s="3" t="n">
        <v>9</v>
      </c>
      <c r="B16" s="201" t="inlineStr">
        <is>
          <t>AEGIS-QA-S0059</t>
        </is>
      </c>
      <c r="C16" s="184" t="n"/>
      <c r="D16" s="185" t="n"/>
      <c r="E16" s="9" t="inlineStr"/>
      <c r="F16" s="10" t="inlineStr"/>
      <c r="G16" s="10" t="inlineStr"/>
      <c r="H16" s="10" t="inlineStr"/>
      <c r="I16" s="14" t="inlineStr">
        <is>
          <t>X</t>
        </is>
      </c>
      <c r="J16" s="9" t="inlineStr"/>
      <c r="K16" s="10" t="inlineStr"/>
      <c r="L16" s="10" t="inlineStr"/>
      <c r="M16" s="10" t="inlineStr"/>
      <c r="N16" s="14" t="inlineStr"/>
      <c r="O16" s="11" t="n"/>
      <c r="P16" s="10" t="inlineStr"/>
      <c r="Q16" s="10" t="inlineStr"/>
      <c r="R16" s="11" t="n"/>
      <c r="S16" s="15" t="n"/>
      <c r="T16" s="9" t="inlineStr"/>
      <c r="U16" s="10" t="inlineStr"/>
      <c r="V16" s="10" t="inlineStr"/>
      <c r="W16" s="10" t="inlineStr"/>
      <c r="X16" s="14" t="inlineStr"/>
      <c r="Y16" s="12" t="inlineStr"/>
      <c r="Z16" s="13" t="inlineStr"/>
      <c r="AA16" s="10" t="inlineStr"/>
      <c r="AB16" s="10" t="inlineStr"/>
      <c r="AC16" s="15" t="n"/>
      <c r="AD16" s="204">
        <f>COUNTIF(E16:AC16,"x")</f>
        <v/>
      </c>
      <c r="AE16" s="205" t="n"/>
      <c r="AF16" s="204" t="inlineStr"/>
      <c r="AG16" s="205" t="n"/>
      <c r="AH16" s="206" t="inlineStr"/>
      <c r="AI16" s="184" t="n"/>
      <c r="AJ16" s="184" t="n"/>
      <c r="AK16" s="184" t="n"/>
      <c r="AL16" s="205" t="n"/>
    </row>
    <row r="17" ht="20.1" customHeight="1" s="51">
      <c r="A17" s="3" t="n">
        <v>10</v>
      </c>
      <c r="B17" s="201" t="inlineStr">
        <is>
          <t>AEGIS-QA-S0060</t>
        </is>
      </c>
      <c r="C17" s="184" t="n"/>
      <c r="D17" s="185" t="n"/>
      <c r="E17" s="9" t="inlineStr"/>
      <c r="F17" s="10" t="inlineStr"/>
      <c r="G17" s="10" t="inlineStr"/>
      <c r="H17" s="10" t="inlineStr"/>
      <c r="I17" s="14" t="inlineStr"/>
      <c r="J17" s="9" t="inlineStr"/>
      <c r="K17" s="10" t="inlineStr"/>
      <c r="L17" s="10" t="inlineStr"/>
      <c r="M17" s="10" t="inlineStr"/>
      <c r="N17" s="14" t="inlineStr"/>
      <c r="O17" s="11" t="n"/>
      <c r="P17" s="10" t="inlineStr"/>
      <c r="Q17" s="10" t="inlineStr"/>
      <c r="R17" s="11" t="n"/>
      <c r="S17" s="15" t="n"/>
      <c r="T17" s="9" t="inlineStr"/>
      <c r="U17" s="10" t="inlineStr"/>
      <c r="V17" s="10" t="inlineStr"/>
      <c r="W17" s="10" t="inlineStr"/>
      <c r="X17" s="14" t="inlineStr"/>
      <c r="Y17" s="12" t="inlineStr"/>
      <c r="Z17" s="13" t="inlineStr"/>
      <c r="AA17" s="10" t="inlineStr"/>
      <c r="AB17" s="10" t="inlineStr"/>
      <c r="AC17" s="15" t="n"/>
      <c r="AD17" s="204">
        <f>COUNTIF(E17:AC17,"x")</f>
        <v/>
      </c>
      <c r="AE17" s="205" t="n"/>
      <c r="AF17" s="204" t="inlineStr"/>
      <c r="AG17" s="205" t="n"/>
      <c r="AH17" s="206" t="inlineStr"/>
      <c r="AI17" s="184" t="n"/>
      <c r="AJ17" s="184" t="n"/>
      <c r="AK17" s="184" t="n"/>
      <c r="AL17" s="205" t="n"/>
    </row>
    <row r="18" ht="20.1" customHeight="1" s="51">
      <c r="A18" s="3" t="n">
        <v>11</v>
      </c>
      <c r="B18" s="201" t="inlineStr">
        <is>
          <t>AEGIS-QA-S0061</t>
        </is>
      </c>
      <c r="C18" s="184" t="n"/>
      <c r="D18" s="185" t="n"/>
      <c r="E18" s="9" t="inlineStr">
        <is>
          <t>L</t>
        </is>
      </c>
      <c r="F18" s="10" t="inlineStr">
        <is>
          <t>X</t>
        </is>
      </c>
      <c r="G18" s="10" t="inlineStr"/>
      <c r="H18" s="10" t="inlineStr"/>
      <c r="I18" s="14" t="inlineStr"/>
      <c r="J18" s="9" t="inlineStr"/>
      <c r="K18" s="10" t="inlineStr"/>
      <c r="L18" s="10" t="inlineStr"/>
      <c r="M18" s="10" t="inlineStr"/>
      <c r="N18" s="14" t="inlineStr"/>
      <c r="O18" s="11" t="n"/>
      <c r="P18" s="10" t="inlineStr"/>
      <c r="Q18" s="10" t="inlineStr"/>
      <c r="R18" s="11" t="n"/>
      <c r="S18" s="15" t="n"/>
      <c r="T18" s="9" t="inlineStr"/>
      <c r="U18" s="10" t="inlineStr"/>
      <c r="V18" s="10" t="inlineStr"/>
      <c r="W18" s="10" t="inlineStr"/>
      <c r="X18" s="14" t="inlineStr"/>
      <c r="Y18" s="12" t="inlineStr"/>
      <c r="Z18" s="13" t="inlineStr"/>
      <c r="AA18" s="10" t="inlineStr"/>
      <c r="AB18" s="10" t="inlineStr"/>
      <c r="AC18" s="15" t="n"/>
      <c r="AD18" s="204">
        <f>COUNTIF(E18:AC18,"x")</f>
        <v/>
      </c>
      <c r="AE18" s="205" t="n"/>
      <c r="AF18" s="204" t="inlineStr"/>
      <c r="AG18" s="205" t="n"/>
      <c r="AH18" s="206" t="inlineStr"/>
      <c r="AI18" s="184" t="n"/>
      <c r="AJ18" s="184" t="n"/>
      <c r="AK18" s="184" t="n"/>
      <c r="AL18" s="205" t="n"/>
    </row>
    <row r="19" ht="20.1" customHeight="1" s="51">
      <c r="A19" s="3" t="n">
        <v>12</v>
      </c>
      <c r="B19" s="201" t="inlineStr">
        <is>
          <t>AEGIS-QA-S0062</t>
        </is>
      </c>
      <c r="C19" s="184" t="n"/>
      <c r="D19" s="185" t="n"/>
      <c r="E19" s="9" t="inlineStr"/>
      <c r="F19" s="10" t="inlineStr"/>
      <c r="G19" s="10" t="inlineStr">
        <is>
          <t>L</t>
        </is>
      </c>
      <c r="H19" s="10" t="inlineStr"/>
      <c r="I19" s="14" t="inlineStr"/>
      <c r="J19" s="9" t="inlineStr"/>
      <c r="K19" s="10" t="inlineStr"/>
      <c r="L19" s="10" t="inlineStr"/>
      <c r="M19" s="10" t="inlineStr"/>
      <c r="N19" s="14" t="inlineStr"/>
      <c r="O19" s="11" t="n"/>
      <c r="P19" s="10" t="inlineStr"/>
      <c r="Q19" s="10" t="inlineStr"/>
      <c r="R19" s="11" t="n"/>
      <c r="S19" s="15" t="n"/>
      <c r="T19" s="9" t="inlineStr"/>
      <c r="U19" s="10" t="inlineStr"/>
      <c r="V19" s="10" t="inlineStr"/>
      <c r="W19" s="10" t="inlineStr"/>
      <c r="X19" s="14" t="inlineStr"/>
      <c r="Y19" s="12" t="inlineStr"/>
      <c r="Z19" s="13" t="inlineStr"/>
      <c r="AA19" s="10" t="inlineStr"/>
      <c r="AB19" s="10" t="inlineStr"/>
      <c r="AC19" s="15" t="n"/>
      <c r="AD19" s="204">
        <f>COUNTIF(E19:AC19,"x")</f>
        <v/>
      </c>
      <c r="AE19" s="205" t="n"/>
      <c r="AF19" s="204" t="inlineStr"/>
      <c r="AG19" s="205" t="n"/>
      <c r="AH19" s="206" t="inlineStr"/>
      <c r="AI19" s="184" t="n"/>
      <c r="AJ19" s="184" t="n"/>
      <c r="AK19" s="184" t="n"/>
      <c r="AL19" s="205" t="n"/>
    </row>
    <row r="20" ht="20.1" customHeight="1" s="51">
      <c r="A20" s="3" t="n">
        <v>13</v>
      </c>
      <c r="B20" s="201" t="inlineStr">
        <is>
          <t>AEGIS-QA-S0063</t>
        </is>
      </c>
      <c r="C20" s="184" t="n"/>
      <c r="D20" s="185" t="n"/>
      <c r="E20" s="9" t="inlineStr"/>
      <c r="F20" s="10" t="inlineStr"/>
      <c r="G20" s="10" t="inlineStr"/>
      <c r="H20" s="10" t="inlineStr"/>
      <c r="I20" s="14" t="inlineStr"/>
      <c r="J20" s="9" t="inlineStr"/>
      <c r="K20" s="10" t="inlineStr"/>
      <c r="L20" s="10" t="inlineStr"/>
      <c r="M20" s="10" t="inlineStr"/>
      <c r="N20" s="14" t="inlineStr"/>
      <c r="O20" s="11" t="n"/>
      <c r="P20" s="10" t="inlineStr"/>
      <c r="Q20" s="10" t="inlineStr"/>
      <c r="R20" s="11" t="n"/>
      <c r="S20" s="15" t="n"/>
      <c r="T20" s="9" t="inlineStr"/>
      <c r="U20" s="10" t="inlineStr"/>
      <c r="V20" s="10" t="inlineStr"/>
      <c r="W20" s="10" t="inlineStr"/>
      <c r="X20" s="14" t="inlineStr"/>
      <c r="Y20" s="12" t="inlineStr"/>
      <c r="Z20" s="13" t="inlineStr"/>
      <c r="AA20" s="10" t="inlineStr"/>
      <c r="AB20" s="10" t="inlineStr"/>
      <c r="AC20" s="15" t="n"/>
      <c r="AD20" s="204">
        <f>COUNTIF(E20:AC20,"x")</f>
        <v/>
      </c>
      <c r="AE20" s="205" t="n"/>
      <c r="AF20" s="204" t="inlineStr"/>
      <c r="AG20" s="205" t="n"/>
      <c r="AH20" s="206" t="inlineStr"/>
      <c r="AI20" s="184" t="n"/>
      <c r="AJ20" s="184" t="n"/>
      <c r="AK20" s="184" t="n"/>
      <c r="AL20" s="205" t="n"/>
    </row>
    <row r="21" ht="20.1" customHeight="1" s="51">
      <c r="A21" s="3" t="n">
        <v>14</v>
      </c>
      <c r="B21" s="201" t="inlineStr">
        <is>
          <t>AEGIS-QA-S0064</t>
        </is>
      </c>
      <c r="C21" s="184" t="n"/>
      <c r="D21" s="185" t="n"/>
      <c r="E21" s="9" t="inlineStr"/>
      <c r="F21" s="10" t="inlineStr"/>
      <c r="G21" s="10" t="inlineStr"/>
      <c r="H21" s="10" t="inlineStr"/>
      <c r="I21" s="14" t="inlineStr">
        <is>
          <t>L</t>
        </is>
      </c>
      <c r="J21" s="9" t="inlineStr"/>
      <c r="K21" s="10" t="inlineStr"/>
      <c r="L21" s="10" t="inlineStr"/>
      <c r="M21" s="10" t="inlineStr"/>
      <c r="N21" s="14" t="inlineStr"/>
      <c r="O21" s="11" t="n"/>
      <c r="P21" s="10" t="inlineStr"/>
      <c r="Q21" s="10" t="inlineStr"/>
      <c r="R21" s="11" t="n"/>
      <c r="S21" s="15" t="n"/>
      <c r="T21" s="9" t="inlineStr"/>
      <c r="U21" s="10" t="inlineStr"/>
      <c r="V21" s="10" t="inlineStr"/>
      <c r="W21" s="10" t="inlineStr"/>
      <c r="X21" s="14" t="inlineStr"/>
      <c r="Y21" s="12" t="inlineStr"/>
      <c r="Z21" s="13" t="inlineStr"/>
      <c r="AA21" s="10" t="inlineStr"/>
      <c r="AB21" s="10" t="inlineStr"/>
      <c r="AC21" s="15" t="n"/>
      <c r="AD21" s="204">
        <f>COUNTIF(E21:AC21,"x")</f>
        <v/>
      </c>
      <c r="AE21" s="205" t="n"/>
      <c r="AF21" s="204" t="inlineStr"/>
      <c r="AG21" s="205" t="n"/>
      <c r="AH21" s="206" t="inlineStr"/>
      <c r="AI21" s="184" t="n"/>
      <c r="AJ21" s="184" t="n"/>
      <c r="AK21" s="184" t="n"/>
      <c r="AL21" s="205" t="n"/>
    </row>
    <row r="22" ht="20.1" customHeight="1" s="51">
      <c r="A22" s="3" t="n">
        <v>15</v>
      </c>
      <c r="B22" s="201" t="inlineStr">
        <is>
          <t>AEGIS-QA-S0065</t>
        </is>
      </c>
      <c r="C22" s="184" t="n"/>
      <c r="D22" s="185" t="n"/>
      <c r="E22" s="9" t="inlineStr">
        <is>
          <t>X</t>
        </is>
      </c>
      <c r="F22" s="10" t="inlineStr">
        <is>
          <t>L</t>
        </is>
      </c>
      <c r="G22" s="10" t="inlineStr"/>
      <c r="H22" s="10" t="inlineStr"/>
      <c r="I22" s="14" t="inlineStr"/>
      <c r="J22" s="9" t="inlineStr"/>
      <c r="K22" s="10" t="inlineStr"/>
      <c r="L22" s="10" t="inlineStr"/>
      <c r="M22" s="10" t="inlineStr"/>
      <c r="N22" s="14" t="inlineStr"/>
      <c r="O22" s="11" t="n"/>
      <c r="P22" s="10" t="inlineStr"/>
      <c r="Q22" s="10" t="inlineStr"/>
      <c r="R22" s="11" t="n"/>
      <c r="S22" s="15" t="n"/>
      <c r="T22" s="9" t="inlineStr"/>
      <c r="U22" s="10" t="inlineStr"/>
      <c r="V22" s="10" t="inlineStr"/>
      <c r="W22" s="10" t="inlineStr"/>
      <c r="X22" s="14" t="inlineStr"/>
      <c r="Y22" s="12" t="inlineStr"/>
      <c r="Z22" s="13" t="inlineStr"/>
      <c r="AA22" s="10" t="inlineStr"/>
      <c r="AB22" s="10" t="inlineStr"/>
      <c r="AC22" s="15" t="n"/>
      <c r="AD22" s="204">
        <f>COUNTIF(E22:AC22,"x")</f>
        <v/>
      </c>
      <c r="AE22" s="205" t="n"/>
      <c r="AF22" s="204" t="inlineStr"/>
      <c r="AG22" s="205" t="n"/>
      <c r="AH22" s="206" t="inlineStr"/>
      <c r="AI22" s="184" t="n"/>
      <c r="AJ22" s="184" t="n"/>
      <c r="AK22" s="184" t="n"/>
      <c r="AL22" s="205" t="n"/>
    </row>
    <row r="23" ht="20.1" customHeight="1" s="51">
      <c r="A23" s="3" t="n">
        <v>16</v>
      </c>
      <c r="B23" s="201" t="inlineStr">
        <is>
          <t>AEGIS-QA-S0066</t>
        </is>
      </c>
      <c r="C23" s="184" t="n"/>
      <c r="D23" s="185" t="n"/>
      <c r="E23" s="9" t="inlineStr"/>
      <c r="F23" s="10" t="inlineStr"/>
      <c r="G23" s="10" t="inlineStr"/>
      <c r="H23" s="10" t="inlineStr"/>
      <c r="I23" s="14" t="inlineStr"/>
      <c r="J23" s="9" t="inlineStr"/>
      <c r="K23" s="10" t="inlineStr"/>
      <c r="L23" s="10" t="inlineStr"/>
      <c r="M23" s="10" t="inlineStr"/>
      <c r="N23" s="14" t="inlineStr"/>
      <c r="O23" s="11" t="n"/>
      <c r="P23" s="10" t="inlineStr"/>
      <c r="Q23" s="10" t="inlineStr"/>
      <c r="R23" s="11" t="n"/>
      <c r="S23" s="15" t="n"/>
      <c r="T23" s="9" t="inlineStr"/>
      <c r="U23" s="10" t="inlineStr"/>
      <c r="V23" s="10" t="inlineStr"/>
      <c r="W23" s="10" t="inlineStr"/>
      <c r="X23" s="14" t="inlineStr"/>
      <c r="Y23" s="12" t="inlineStr"/>
      <c r="Z23" s="13" t="inlineStr"/>
      <c r="AA23" s="10" t="inlineStr"/>
      <c r="AB23" s="10" t="inlineStr"/>
      <c r="AC23" s="15" t="n"/>
      <c r="AD23" s="204">
        <f>COUNTIF(E23:AC23,"x")</f>
        <v/>
      </c>
      <c r="AE23" s="205" t="n"/>
      <c r="AF23" s="204" t="inlineStr"/>
      <c r="AG23" s="205" t="n"/>
      <c r="AH23" s="206" t="inlineStr"/>
      <c r="AI23" s="184" t="n"/>
      <c r="AJ23" s="184" t="n"/>
      <c r="AK23" s="184" t="n"/>
      <c r="AL23" s="205" t="n"/>
    </row>
    <row r="24" ht="20.1" customHeight="1" s="51">
      <c r="A24" s="3" t="n">
        <v>17</v>
      </c>
      <c r="B24" s="201" t="inlineStr">
        <is>
          <t>AEGIS-QA-S0067</t>
        </is>
      </c>
      <c r="C24" s="184" t="n"/>
      <c r="D24" s="185" t="n"/>
      <c r="E24" s="9" t="inlineStr"/>
      <c r="F24" s="10" t="inlineStr"/>
      <c r="G24" s="10" t="inlineStr"/>
      <c r="H24" s="10" t="inlineStr"/>
      <c r="I24" s="14" t="inlineStr"/>
      <c r="J24" s="9" t="inlineStr"/>
      <c r="K24" s="10" t="inlineStr"/>
      <c r="L24" s="10" t="inlineStr"/>
      <c r="M24" s="10" t="inlineStr"/>
      <c r="N24" s="14" t="inlineStr"/>
      <c r="O24" s="11" t="n"/>
      <c r="P24" s="10" t="inlineStr"/>
      <c r="Q24" s="10" t="inlineStr"/>
      <c r="R24" s="11" t="n"/>
      <c r="S24" s="15" t="n"/>
      <c r="T24" s="9" t="inlineStr"/>
      <c r="U24" s="10" t="inlineStr"/>
      <c r="V24" s="10" t="inlineStr"/>
      <c r="W24" s="10" t="inlineStr"/>
      <c r="X24" s="14" t="inlineStr"/>
      <c r="Y24" s="12" t="inlineStr"/>
      <c r="Z24" s="13" t="inlineStr"/>
      <c r="AA24" s="10" t="inlineStr"/>
      <c r="AB24" s="10" t="inlineStr"/>
      <c r="AC24" s="15" t="n"/>
      <c r="AD24" s="204">
        <f>COUNTIF(E24:AC24,"x")</f>
        <v/>
      </c>
      <c r="AE24" s="205" t="n"/>
      <c r="AF24" s="204" t="inlineStr"/>
      <c r="AG24" s="205" t="n"/>
      <c r="AH24" s="206" t="inlineStr"/>
      <c r="AI24" s="184" t="n"/>
      <c r="AJ24" s="184" t="n"/>
      <c r="AK24" s="184" t="n"/>
      <c r="AL24" s="205" t="n"/>
    </row>
    <row r="25" ht="20.1" customHeight="1" s="51">
      <c r="A25" s="3" t="n">
        <v>18</v>
      </c>
      <c r="B25" s="201" t="inlineStr">
        <is>
          <t>AEGIS-QA-S0068</t>
        </is>
      </c>
      <c r="C25" s="184" t="n"/>
      <c r="D25" s="185" t="n"/>
      <c r="E25" s="9" t="inlineStr"/>
      <c r="F25" s="10" t="inlineStr"/>
      <c r="G25" s="10" t="inlineStr"/>
      <c r="H25" s="10" t="inlineStr"/>
      <c r="I25" s="14" t="inlineStr">
        <is>
          <t>X</t>
        </is>
      </c>
      <c r="J25" s="9" t="inlineStr"/>
      <c r="K25" s="10" t="inlineStr"/>
      <c r="L25" s="10" t="inlineStr"/>
      <c r="M25" s="10" t="inlineStr"/>
      <c r="N25" s="14" t="inlineStr"/>
      <c r="O25" s="11" t="n"/>
      <c r="P25" s="10" t="inlineStr"/>
      <c r="Q25" s="10" t="inlineStr"/>
      <c r="R25" s="11" t="n"/>
      <c r="S25" s="15" t="n"/>
      <c r="T25" s="9" t="inlineStr"/>
      <c r="U25" s="10" t="inlineStr"/>
      <c r="V25" s="10" t="inlineStr"/>
      <c r="W25" s="10" t="inlineStr"/>
      <c r="X25" s="14" t="inlineStr"/>
      <c r="Y25" s="12" t="inlineStr"/>
      <c r="Z25" s="13" t="inlineStr"/>
      <c r="AA25" s="10" t="inlineStr"/>
      <c r="AB25" s="10" t="inlineStr"/>
      <c r="AC25" s="15" t="n"/>
      <c r="AD25" s="204">
        <f>COUNTIF(E25:AC25,"x")</f>
        <v/>
      </c>
      <c r="AE25" s="205" t="n"/>
      <c r="AF25" s="204" t="inlineStr"/>
      <c r="AG25" s="205" t="n"/>
      <c r="AH25" s="206" t="inlineStr"/>
      <c r="AI25" s="184" t="n"/>
      <c r="AJ25" s="184" t="n"/>
      <c r="AK25" s="184" t="n"/>
      <c r="AL25" s="205" t="n"/>
    </row>
    <row r="26" ht="20.1" customHeight="1" s="51">
      <c r="A26" s="3" t="n">
        <v>19</v>
      </c>
      <c r="B26" s="201" t="inlineStr">
        <is>
          <t>AEGIS-QA-S0069</t>
        </is>
      </c>
      <c r="C26" s="184" t="n"/>
      <c r="D26" s="185" t="n"/>
      <c r="E26" s="9" t="inlineStr"/>
      <c r="F26" s="10" t="inlineStr"/>
      <c r="G26" s="10" t="inlineStr"/>
      <c r="H26" s="10" t="inlineStr"/>
      <c r="I26" s="14" t="inlineStr"/>
      <c r="J26" s="9" t="inlineStr"/>
      <c r="K26" s="10" t="inlineStr"/>
      <c r="L26" s="10" t="inlineStr"/>
      <c r="M26" s="10" t="inlineStr"/>
      <c r="N26" s="14" t="inlineStr"/>
      <c r="O26" s="11" t="n"/>
      <c r="P26" s="10" t="inlineStr"/>
      <c r="Q26" s="10" t="inlineStr"/>
      <c r="R26" s="11" t="n"/>
      <c r="S26" s="15" t="n"/>
      <c r="T26" s="9" t="inlineStr"/>
      <c r="U26" s="10" t="inlineStr"/>
      <c r="V26" s="10" t="inlineStr"/>
      <c r="W26" s="10" t="inlineStr"/>
      <c r="X26" s="14" t="inlineStr"/>
      <c r="Y26" s="12" t="inlineStr"/>
      <c r="Z26" s="13" t="inlineStr"/>
      <c r="AA26" s="10" t="inlineStr"/>
      <c r="AB26" s="10" t="inlineStr"/>
      <c r="AC26" s="15" t="n"/>
      <c r="AD26" s="204">
        <f>COUNTIF(E26:AC26,"x")</f>
        <v/>
      </c>
      <c r="AE26" s="205" t="n"/>
      <c r="AF26" s="204" t="inlineStr"/>
      <c r="AG26" s="205" t="n"/>
      <c r="AH26" s="206" t="inlineStr"/>
      <c r="AI26" s="184" t="n"/>
      <c r="AJ26" s="184" t="n"/>
      <c r="AK26" s="184" t="n"/>
      <c r="AL26" s="205" t="n"/>
    </row>
    <row r="27" ht="20.1" customHeight="1" s="51">
      <c r="A27" s="3" t="n">
        <v>20</v>
      </c>
      <c r="B27" s="201" t="inlineStr">
        <is>
          <t>AEGIS-QA-S0070</t>
        </is>
      </c>
      <c r="C27" s="184" t="n"/>
      <c r="D27" s="185" t="n"/>
      <c r="E27" s="9" t="inlineStr">
        <is>
          <t>L</t>
        </is>
      </c>
      <c r="F27" s="10" t="inlineStr"/>
      <c r="G27" s="10" t="inlineStr">
        <is>
          <t>X</t>
        </is>
      </c>
      <c r="H27" s="10" t="inlineStr"/>
      <c r="I27" s="14" t="inlineStr">
        <is>
          <t>L</t>
        </is>
      </c>
      <c r="J27" s="9" t="inlineStr"/>
      <c r="K27" s="10" t="inlineStr"/>
      <c r="L27" s="10" t="inlineStr"/>
      <c r="M27" s="10" t="inlineStr"/>
      <c r="N27" s="14" t="inlineStr"/>
      <c r="O27" s="11" t="n"/>
      <c r="P27" s="10" t="inlineStr"/>
      <c r="Q27" s="10" t="inlineStr"/>
      <c r="R27" s="11" t="n"/>
      <c r="S27" s="15" t="n"/>
      <c r="T27" s="9" t="inlineStr"/>
      <c r="U27" s="10" t="inlineStr"/>
      <c r="V27" s="10" t="inlineStr"/>
      <c r="W27" s="10" t="inlineStr"/>
      <c r="X27" s="14" t="inlineStr"/>
      <c r="Y27" s="12" t="inlineStr"/>
      <c r="Z27" s="13" t="inlineStr"/>
      <c r="AA27" s="10" t="inlineStr"/>
      <c r="AB27" s="10" t="inlineStr"/>
      <c r="AC27" s="15" t="n"/>
      <c r="AD27" s="204">
        <f>COUNTIF(E27:AC27,"x")</f>
        <v/>
      </c>
      <c r="AE27" s="205" t="n"/>
      <c r="AF27" s="204" t="inlineStr"/>
      <c r="AG27" s="205" t="n"/>
      <c r="AH27" s="206" t="inlineStr"/>
      <c r="AI27" s="184" t="n"/>
      <c r="AJ27" s="184" t="n"/>
      <c r="AK27" s="184" t="n"/>
      <c r="AL27" s="205" t="n"/>
    </row>
    <row r="28" ht="20.1" customHeight="1" s="51">
      <c r="A28" s="3" t="n">
        <v>21</v>
      </c>
      <c r="B28" s="201" t="inlineStr">
        <is>
          <t>AEGIS-QA-S0071</t>
        </is>
      </c>
      <c r="C28" s="184" t="n"/>
      <c r="D28" s="185" t="n"/>
      <c r="E28" s="9" t="inlineStr"/>
      <c r="F28" s="10" t="inlineStr"/>
      <c r="G28" s="10" t="inlineStr">
        <is>
          <t>L</t>
        </is>
      </c>
      <c r="H28" s="10" t="inlineStr"/>
      <c r="I28" s="14" t="inlineStr"/>
      <c r="J28" s="9" t="inlineStr"/>
      <c r="K28" s="10" t="inlineStr"/>
      <c r="L28" s="10" t="inlineStr"/>
      <c r="M28" s="10" t="inlineStr"/>
      <c r="N28" s="14" t="inlineStr"/>
      <c r="O28" s="11" t="n"/>
      <c r="P28" s="10" t="inlineStr"/>
      <c r="Q28" s="10" t="inlineStr"/>
      <c r="R28" s="11" t="n"/>
      <c r="S28" s="15" t="n"/>
      <c r="T28" s="9" t="inlineStr"/>
      <c r="U28" s="10" t="inlineStr"/>
      <c r="V28" s="10" t="inlineStr"/>
      <c r="W28" s="10" t="inlineStr"/>
      <c r="X28" s="14" t="inlineStr"/>
      <c r="Y28" s="12" t="inlineStr"/>
      <c r="Z28" s="13" t="inlineStr"/>
      <c r="AA28" s="10" t="inlineStr"/>
      <c r="AB28" s="10" t="inlineStr"/>
      <c r="AC28" s="15" t="n"/>
      <c r="AD28" s="204">
        <f>COUNTIF(E28:AC28,"x")</f>
        <v/>
      </c>
      <c r="AE28" s="205" t="n"/>
      <c r="AF28" s="204" t="inlineStr"/>
      <c r="AG28" s="205" t="n"/>
      <c r="AH28" s="206" t="inlineStr"/>
      <c r="AI28" s="184" t="n"/>
      <c r="AJ28" s="184" t="n"/>
      <c r="AK28" s="184" t="n"/>
      <c r="AL28" s="205" t="n"/>
    </row>
    <row r="29" ht="20.1" customHeight="1" s="51">
      <c r="A29" s="3" t="n">
        <v>22</v>
      </c>
      <c r="B29" s="201" t="inlineStr">
        <is>
          <t>AEGIS-QA-S0072</t>
        </is>
      </c>
      <c r="C29" s="184" t="n"/>
      <c r="D29" s="185" t="n"/>
      <c r="E29" s="9" t="inlineStr"/>
      <c r="F29" s="10" t="inlineStr"/>
      <c r="G29" s="10" t="inlineStr"/>
      <c r="H29" s="10" t="inlineStr"/>
      <c r="I29" s="14" t="inlineStr"/>
      <c r="J29" s="9" t="inlineStr"/>
      <c r="K29" s="10" t="inlineStr"/>
      <c r="L29" s="10" t="inlineStr"/>
      <c r="M29" s="10" t="inlineStr"/>
      <c r="N29" s="14" t="inlineStr"/>
      <c r="O29" s="11" t="n"/>
      <c r="P29" s="10" t="inlineStr"/>
      <c r="Q29" s="10" t="inlineStr"/>
      <c r="R29" s="11" t="n"/>
      <c r="S29" s="15" t="n"/>
      <c r="T29" s="9" t="inlineStr"/>
      <c r="U29" s="10" t="inlineStr"/>
      <c r="V29" s="10" t="inlineStr"/>
      <c r="W29" s="10" t="inlineStr"/>
      <c r="X29" s="14" t="inlineStr"/>
      <c r="Y29" s="12" t="inlineStr"/>
      <c r="Z29" s="13" t="inlineStr"/>
      <c r="AA29" s="10" t="inlineStr"/>
      <c r="AB29" s="10" t="inlineStr"/>
      <c r="AC29" s="15" t="n"/>
      <c r="AD29" s="204">
        <f>COUNTIF(E29:AC29,"x")</f>
        <v/>
      </c>
      <c r="AE29" s="205" t="n"/>
      <c r="AF29" s="204" t="inlineStr"/>
      <c r="AG29" s="205" t="n"/>
      <c r="AH29" s="206" t="inlineStr"/>
      <c r="AI29" s="184" t="n"/>
      <c r="AJ29" s="184" t="n"/>
      <c r="AK29" s="184" t="n"/>
      <c r="AL29" s="205" t="n"/>
    </row>
    <row r="30" ht="20.1" customHeight="1" s="51">
      <c r="A30" s="3" t="n">
        <v>23</v>
      </c>
      <c r="B30" s="201" t="inlineStr">
        <is>
          <t>AEGIS-QA-S0073</t>
        </is>
      </c>
      <c r="C30" s="184" t="n"/>
      <c r="D30" s="185" t="n"/>
      <c r="E30" s="9" t="inlineStr"/>
      <c r="F30" s="10" t="inlineStr"/>
      <c r="G30" s="10" t="inlineStr"/>
      <c r="H30" s="10" t="inlineStr"/>
      <c r="I30" s="14" t="inlineStr"/>
      <c r="J30" s="9" t="inlineStr"/>
      <c r="K30" s="10" t="inlineStr"/>
      <c r="L30" s="10" t="inlineStr"/>
      <c r="M30" s="10" t="inlineStr"/>
      <c r="N30" s="14" t="inlineStr"/>
      <c r="O30" s="11" t="n"/>
      <c r="P30" s="10" t="inlineStr"/>
      <c r="Q30" s="10" t="inlineStr"/>
      <c r="R30" s="11" t="n"/>
      <c r="S30" s="15" t="n"/>
      <c r="T30" s="9" t="inlineStr"/>
      <c r="U30" s="10" t="inlineStr"/>
      <c r="V30" s="10" t="inlineStr"/>
      <c r="W30" s="10" t="inlineStr"/>
      <c r="X30" s="14" t="inlineStr"/>
      <c r="Y30" s="12" t="inlineStr"/>
      <c r="Z30" s="13" t="inlineStr"/>
      <c r="AA30" s="10" t="inlineStr"/>
      <c r="AB30" s="10" t="inlineStr"/>
      <c r="AC30" s="15" t="n"/>
      <c r="AD30" s="204">
        <f>COUNTIF(E30:AC30,"x")</f>
        <v/>
      </c>
      <c r="AE30" s="205" t="n"/>
      <c r="AF30" s="204" t="inlineStr"/>
      <c r="AG30" s="205" t="n"/>
      <c r="AH30" s="206" t="inlineStr"/>
      <c r="AI30" s="184" t="n"/>
      <c r="AJ30" s="184" t="n"/>
      <c r="AK30" s="184" t="n"/>
      <c r="AL30" s="205" t="n"/>
    </row>
    <row r="31" ht="20.1" customHeight="1" s="51">
      <c r="A31" s="3" t="n">
        <v>24</v>
      </c>
      <c r="B31" s="201" t="inlineStr">
        <is>
          <t>AEGIS-QA-S0074</t>
        </is>
      </c>
      <c r="C31" s="184" t="n"/>
      <c r="D31" s="185" t="n"/>
      <c r="E31" s="9" t="inlineStr"/>
      <c r="F31" s="10" t="inlineStr"/>
      <c r="G31" s="10" t="inlineStr"/>
      <c r="H31" s="10" t="inlineStr"/>
      <c r="I31" s="14" t="inlineStr">
        <is>
          <t>L</t>
        </is>
      </c>
      <c r="J31" s="9" t="inlineStr"/>
      <c r="K31" s="10" t="inlineStr"/>
      <c r="L31" s="10" t="inlineStr"/>
      <c r="M31" s="10" t="inlineStr"/>
      <c r="N31" s="14" t="inlineStr"/>
      <c r="O31" s="11" t="n"/>
      <c r="P31" s="10" t="inlineStr"/>
      <c r="Q31" s="10" t="inlineStr"/>
      <c r="R31" s="11" t="n"/>
      <c r="S31" s="15" t="n"/>
      <c r="T31" s="9" t="inlineStr"/>
      <c r="U31" s="10" t="inlineStr"/>
      <c r="V31" s="10" t="inlineStr"/>
      <c r="W31" s="10" t="inlineStr"/>
      <c r="X31" s="14" t="inlineStr"/>
      <c r="Y31" s="12" t="inlineStr"/>
      <c r="Z31" s="13" t="inlineStr"/>
      <c r="AA31" s="10" t="inlineStr"/>
      <c r="AB31" s="10" t="inlineStr"/>
      <c r="AC31" s="15" t="n"/>
      <c r="AD31" s="204">
        <f>COUNTIF(E31:AC31,"x")</f>
        <v/>
      </c>
      <c r="AE31" s="205" t="n"/>
      <c r="AF31" s="204" t="inlineStr"/>
      <c r="AG31" s="205" t="n"/>
      <c r="AH31" s="206" t="inlineStr"/>
      <c r="AI31" s="184" t="n"/>
      <c r="AJ31" s="184" t="n"/>
      <c r="AK31" s="184" t="n"/>
      <c r="AL31" s="205" t="n"/>
    </row>
    <row r="32" ht="20.1" customHeight="1" s="51">
      <c r="A32" s="3" t="n">
        <v>25</v>
      </c>
      <c r="B32" s="201" t="inlineStr">
        <is>
          <t>AEGIS-QA-S0075</t>
        </is>
      </c>
      <c r="C32" s="184" t="n"/>
      <c r="D32" s="185" t="n"/>
      <c r="E32" s="9" t="inlineStr"/>
      <c r="F32" s="10" t="inlineStr"/>
      <c r="G32" s="10" t="inlineStr"/>
      <c r="H32" s="10" t="inlineStr"/>
      <c r="I32" s="14" t="inlineStr"/>
      <c r="J32" s="9" t="inlineStr"/>
      <c r="K32" s="10" t="inlineStr"/>
      <c r="L32" s="10" t="inlineStr"/>
      <c r="M32" s="10" t="inlineStr"/>
      <c r="N32" s="14" t="inlineStr"/>
      <c r="O32" s="11" t="n"/>
      <c r="P32" s="10" t="inlineStr"/>
      <c r="Q32" s="10" t="inlineStr"/>
      <c r="R32" s="11" t="n"/>
      <c r="S32" s="15" t="n"/>
      <c r="T32" s="9" t="inlineStr"/>
      <c r="U32" s="10" t="inlineStr"/>
      <c r="V32" s="10" t="inlineStr"/>
      <c r="W32" s="10" t="inlineStr"/>
      <c r="X32" s="14" t="inlineStr"/>
      <c r="Y32" s="12" t="inlineStr"/>
      <c r="Z32" s="13" t="inlineStr"/>
      <c r="AA32" s="10" t="inlineStr"/>
      <c r="AB32" s="10" t="inlineStr"/>
      <c r="AC32" s="15" t="n"/>
      <c r="AD32" s="204">
        <f>COUNTIF(E32:AC32,"x")</f>
        <v/>
      </c>
      <c r="AE32" s="205" t="n"/>
      <c r="AF32" s="204" t="inlineStr"/>
      <c r="AG32" s="205" t="n"/>
      <c r="AH32" s="206" t="inlineStr"/>
      <c r="AI32" s="184" t="n"/>
      <c r="AJ32" s="184" t="n"/>
      <c r="AK32" s="184" t="n"/>
      <c r="AL32" s="205" t="n"/>
    </row>
    <row r="33" ht="20.1" customHeight="1" s="51">
      <c r="A33" s="3" t="n">
        <v>26</v>
      </c>
      <c r="B33" s="201" t="n"/>
      <c r="C33" s="184" t="n"/>
      <c r="D33" s="185" t="n"/>
      <c r="E33" s="9" t="inlineStr"/>
      <c r="F33" s="10" t="inlineStr"/>
      <c r="G33" s="10" t="inlineStr"/>
      <c r="H33" s="10" t="inlineStr"/>
      <c r="I33" s="14" t="inlineStr"/>
      <c r="J33" s="9" t="inlineStr"/>
      <c r="K33" s="10" t="inlineStr"/>
      <c r="L33" s="10" t="inlineStr"/>
      <c r="M33" s="10" t="inlineStr"/>
      <c r="N33" s="14" t="inlineStr"/>
      <c r="O33" s="11" t="n"/>
      <c r="P33" s="10" t="inlineStr"/>
      <c r="Q33" s="10" t="inlineStr"/>
      <c r="R33" s="11" t="n"/>
      <c r="S33" s="15" t="n"/>
      <c r="T33" s="9" t="inlineStr"/>
      <c r="U33" s="10" t="inlineStr"/>
      <c r="V33" s="10" t="inlineStr"/>
      <c r="W33" s="10" t="inlineStr"/>
      <c r="X33" s="14" t="inlineStr"/>
      <c r="Y33" s="12" t="inlineStr"/>
      <c r="Z33" s="13" t="inlineStr"/>
      <c r="AA33" s="10" t="inlineStr"/>
      <c r="AB33" s="10" t="inlineStr"/>
      <c r="AC33" s="15" t="n"/>
      <c r="AD33" s="204">
        <f>COUNTIF(E33:AC33,"x")</f>
        <v/>
      </c>
      <c r="AE33" s="205" t="n"/>
      <c r="AF33" s="204" t="inlineStr"/>
      <c r="AG33" s="205" t="n"/>
      <c r="AH33" s="206" t="inlineStr"/>
      <c r="AI33" s="184" t="n"/>
      <c r="AJ33" s="184" t="n"/>
      <c r="AK33" s="184" t="n"/>
      <c r="AL33" s="205" t="n"/>
    </row>
    <row r="34" ht="20.1" customHeight="1" s="51">
      <c r="A34" s="3" t="n">
        <v>27</v>
      </c>
      <c r="B34" s="201" t="n"/>
      <c r="C34" s="184" t="n"/>
      <c r="D34" s="185" t="n"/>
      <c r="E34" s="9" t="inlineStr"/>
      <c r="F34" s="10" t="inlineStr"/>
      <c r="G34" s="10" t="inlineStr"/>
      <c r="H34" s="10" t="inlineStr"/>
      <c r="I34" s="14" t="inlineStr"/>
      <c r="J34" s="9" t="inlineStr"/>
      <c r="K34" s="10" t="inlineStr"/>
      <c r="L34" s="10" t="inlineStr"/>
      <c r="M34" s="10" t="inlineStr"/>
      <c r="N34" s="14" t="inlineStr"/>
      <c r="O34" s="11" t="n"/>
      <c r="P34" s="10" t="inlineStr"/>
      <c r="Q34" s="10" t="inlineStr"/>
      <c r="R34" s="11" t="n"/>
      <c r="S34" s="15" t="n"/>
      <c r="T34" s="9" t="inlineStr"/>
      <c r="U34" s="10" t="inlineStr"/>
      <c r="V34" s="10" t="inlineStr"/>
      <c r="W34" s="10" t="inlineStr"/>
      <c r="X34" s="14" t="inlineStr"/>
      <c r="Y34" s="12" t="inlineStr"/>
      <c r="Z34" s="13" t="inlineStr"/>
      <c r="AA34" s="10" t="inlineStr"/>
      <c r="AB34" s="10" t="inlineStr"/>
      <c r="AC34" s="15" t="n"/>
      <c r="AD34" s="204">
        <f>COUNTIF(E34:AC34,"x")</f>
        <v/>
      </c>
      <c r="AE34" s="205" t="n"/>
      <c r="AF34" s="204" t="inlineStr"/>
      <c r="AG34" s="205" t="n"/>
      <c r="AH34" s="206" t="inlineStr"/>
      <c r="AI34" s="184" t="n"/>
      <c r="AJ34" s="184" t="n"/>
      <c r="AK34" s="184" t="n"/>
      <c r="AL34" s="205" t="n"/>
    </row>
    <row r="35" ht="20.1" customHeight="1" s="51">
      <c r="A35" s="3" t="n">
        <v>28</v>
      </c>
      <c r="B35" s="201" t="n"/>
      <c r="C35" s="184" t="n"/>
      <c r="D35" s="185" t="n"/>
      <c r="E35" s="9" t="inlineStr"/>
      <c r="F35" s="10" t="inlineStr"/>
      <c r="G35" s="10" t="inlineStr"/>
      <c r="H35" s="10" t="inlineStr"/>
      <c r="I35" s="14" t="inlineStr"/>
      <c r="J35" s="9" t="inlineStr"/>
      <c r="K35" s="10" t="inlineStr"/>
      <c r="L35" s="10" t="inlineStr"/>
      <c r="M35" s="10" t="inlineStr"/>
      <c r="N35" s="14" t="inlineStr"/>
      <c r="O35" s="11" t="n"/>
      <c r="P35" s="10" t="inlineStr"/>
      <c r="Q35" s="10" t="inlineStr"/>
      <c r="R35" s="11" t="n"/>
      <c r="S35" s="15" t="n"/>
      <c r="T35" s="9" t="inlineStr"/>
      <c r="U35" s="10" t="inlineStr"/>
      <c r="V35" s="10" t="inlineStr"/>
      <c r="W35" s="10" t="inlineStr"/>
      <c r="X35" s="14" t="inlineStr"/>
      <c r="Y35" s="12" t="inlineStr"/>
      <c r="Z35" s="13" t="inlineStr"/>
      <c r="AA35" s="10" t="inlineStr"/>
      <c r="AB35" s="10" t="inlineStr"/>
      <c r="AC35" s="15" t="n"/>
      <c r="AD35" s="204">
        <f>COUNTIF(E35:AC35,"x")</f>
        <v/>
      </c>
      <c r="AE35" s="205" t="n"/>
      <c r="AF35" s="204" t="inlineStr"/>
      <c r="AG35" s="205" t="n"/>
      <c r="AH35" s="206" t="inlineStr"/>
      <c r="AI35" s="184" t="n"/>
      <c r="AJ35" s="184" t="n"/>
      <c r="AK35" s="184" t="n"/>
      <c r="AL35" s="205" t="n"/>
    </row>
    <row r="36" ht="20.1" customHeight="1" s="51">
      <c r="A36" s="3" t="n">
        <v>29</v>
      </c>
      <c r="B36" s="201" t="n"/>
      <c r="C36" s="184" t="n"/>
      <c r="D36" s="185" t="n"/>
      <c r="E36" s="9" t="inlineStr"/>
      <c r="F36" s="10" t="inlineStr"/>
      <c r="G36" s="10" t="inlineStr"/>
      <c r="H36" s="10" t="inlineStr"/>
      <c r="I36" s="14" t="inlineStr"/>
      <c r="J36" s="9" t="inlineStr"/>
      <c r="K36" s="10" t="inlineStr"/>
      <c r="L36" s="10" t="inlineStr"/>
      <c r="M36" s="10" t="inlineStr"/>
      <c r="N36" s="14" t="inlineStr"/>
      <c r="O36" s="11" t="n"/>
      <c r="P36" s="10" t="inlineStr"/>
      <c r="Q36" s="10" t="inlineStr"/>
      <c r="R36" s="11" t="n"/>
      <c r="S36" s="15" t="n"/>
      <c r="T36" s="9" t="inlineStr"/>
      <c r="U36" s="10" t="inlineStr"/>
      <c r="V36" s="10" t="inlineStr"/>
      <c r="W36" s="10" t="inlineStr"/>
      <c r="X36" s="14" t="inlineStr"/>
      <c r="Y36" s="12" t="inlineStr"/>
      <c r="Z36" s="13" t="inlineStr"/>
      <c r="AA36" s="10" t="inlineStr"/>
      <c r="AB36" s="10" t="inlineStr"/>
      <c r="AC36" s="15" t="n"/>
      <c r="AD36" s="204">
        <f>COUNTIF(E36:AC36,"x")</f>
        <v/>
      </c>
      <c r="AE36" s="205" t="n"/>
      <c r="AF36" s="204" t="inlineStr"/>
      <c r="AG36" s="205" t="n"/>
      <c r="AH36" s="206" t="inlineStr"/>
      <c r="AI36" s="184" t="n"/>
      <c r="AJ36" s="184" t="n"/>
      <c r="AK36" s="184" t="n"/>
      <c r="AL36" s="205" t="n"/>
    </row>
    <row r="37" ht="20.1" customHeight="1" s="51">
      <c r="A37" s="3" t="n">
        <v>30</v>
      </c>
      <c r="B37" s="201" t="n"/>
      <c r="C37" s="184" t="n"/>
      <c r="D37" s="185" t="n"/>
      <c r="E37" s="9" t="inlineStr"/>
      <c r="F37" s="10" t="inlineStr"/>
      <c r="G37" s="10" t="inlineStr"/>
      <c r="H37" s="10" t="inlineStr"/>
      <c r="I37" s="14" t="inlineStr"/>
      <c r="J37" s="9" t="inlineStr"/>
      <c r="K37" s="10" t="inlineStr"/>
      <c r="L37" s="10" t="inlineStr"/>
      <c r="M37" s="10" t="inlineStr"/>
      <c r="N37" s="14" t="inlineStr"/>
      <c r="O37" s="11" t="n"/>
      <c r="P37" s="10" t="inlineStr"/>
      <c r="Q37" s="10" t="inlineStr"/>
      <c r="R37" s="11" t="n"/>
      <c r="S37" s="15" t="n"/>
      <c r="T37" s="9" t="inlineStr"/>
      <c r="U37" s="10" t="inlineStr"/>
      <c r="V37" s="10" t="inlineStr"/>
      <c r="W37" s="10" t="inlineStr"/>
      <c r="X37" s="14" t="inlineStr"/>
      <c r="Y37" s="12" t="inlineStr"/>
      <c r="Z37" s="13" t="inlineStr"/>
      <c r="AA37" s="10" t="inlineStr"/>
      <c r="AB37" s="10" t="inlineStr"/>
      <c r="AC37" s="15" t="n"/>
      <c r="AD37" s="204">
        <f>COUNTIF(E37:AC37,"x")</f>
        <v/>
      </c>
      <c r="AE37" s="205" t="n"/>
      <c r="AF37" s="204" t="inlineStr"/>
      <c r="AG37" s="205" t="n"/>
      <c r="AH37" s="206" t="inlineStr"/>
      <c r="AI37" s="184" t="n"/>
      <c r="AJ37" s="184" t="n"/>
      <c r="AK37" s="184" t="n"/>
      <c r="AL37" s="205" t="n"/>
    </row>
    <row r="38" ht="20.1" customHeight="1" s="51">
      <c r="A38" s="3" t="n">
        <v>31</v>
      </c>
      <c r="B38" s="201" t="n"/>
      <c r="C38" s="184" t="n"/>
      <c r="D38" s="185" t="n"/>
      <c r="E38" s="9" t="inlineStr"/>
      <c r="F38" s="10" t="inlineStr"/>
      <c r="G38" s="10" t="inlineStr"/>
      <c r="H38" s="10" t="inlineStr"/>
      <c r="I38" s="14" t="inlineStr"/>
      <c r="J38" s="9" t="inlineStr"/>
      <c r="K38" s="10" t="inlineStr"/>
      <c r="L38" s="10" t="inlineStr"/>
      <c r="M38" s="10" t="inlineStr"/>
      <c r="N38" s="14" t="inlineStr"/>
      <c r="O38" s="11" t="n"/>
      <c r="P38" s="10" t="inlineStr"/>
      <c r="Q38" s="10" t="inlineStr"/>
      <c r="R38" s="11" t="n"/>
      <c r="S38" s="15" t="n"/>
      <c r="T38" s="9" t="inlineStr"/>
      <c r="U38" s="10" t="inlineStr"/>
      <c r="V38" s="10" t="inlineStr"/>
      <c r="W38" s="10" t="inlineStr"/>
      <c r="X38" s="14" t="inlineStr"/>
      <c r="Y38" s="12" t="inlineStr"/>
      <c r="Z38" s="13" t="inlineStr"/>
      <c r="AA38" s="10" t="inlineStr"/>
      <c r="AB38" s="10" t="inlineStr"/>
      <c r="AC38" s="15" t="n"/>
      <c r="AD38" s="204">
        <f>COUNTIF(E38:AC38,"x")</f>
        <v/>
      </c>
      <c r="AE38" s="205" t="n"/>
      <c r="AF38" s="204" t="inlineStr"/>
      <c r="AG38" s="205" t="n"/>
      <c r="AH38" s="206" t="inlineStr"/>
      <c r="AI38" s="184" t="n"/>
      <c r="AJ38" s="184" t="n"/>
      <c r="AK38" s="184" t="n"/>
      <c r="AL38" s="205" t="n"/>
    </row>
    <row r="39" ht="20.1" customHeight="1" s="51">
      <c r="A39" s="3" t="n">
        <v>32</v>
      </c>
      <c r="B39" s="201" t="n"/>
      <c r="C39" s="184" t="n"/>
      <c r="D39" s="185" t="n"/>
      <c r="E39" s="9" t="inlineStr"/>
      <c r="F39" s="10" t="inlineStr"/>
      <c r="G39" s="10" t="inlineStr"/>
      <c r="H39" s="10" t="inlineStr"/>
      <c r="I39" s="14" t="inlineStr"/>
      <c r="J39" s="9" t="inlineStr"/>
      <c r="K39" s="10" t="inlineStr"/>
      <c r="L39" s="10" t="inlineStr"/>
      <c r="M39" s="10" t="inlineStr"/>
      <c r="N39" s="14" t="inlineStr"/>
      <c r="O39" s="11" t="n"/>
      <c r="P39" s="10" t="inlineStr"/>
      <c r="Q39" s="10" t="inlineStr"/>
      <c r="R39" s="11" t="n"/>
      <c r="S39" s="15" t="n"/>
      <c r="T39" s="9" t="inlineStr"/>
      <c r="U39" s="10" t="inlineStr"/>
      <c r="V39" s="10" t="inlineStr"/>
      <c r="W39" s="10" t="inlineStr"/>
      <c r="X39" s="14" t="inlineStr"/>
      <c r="Y39" s="12" t="inlineStr"/>
      <c r="Z39" s="13" t="inlineStr"/>
      <c r="AA39" s="10" t="inlineStr"/>
      <c r="AB39" s="10" t="inlineStr"/>
      <c r="AC39" s="15" t="n"/>
      <c r="AD39" s="204">
        <f>COUNTIF(E39:AC39,"x")</f>
        <v/>
      </c>
      <c r="AE39" s="205" t="n"/>
      <c r="AF39" s="204" t="inlineStr"/>
      <c r="AG39" s="205" t="n"/>
      <c r="AH39" s="206" t="inlineStr"/>
      <c r="AI39" s="184" t="n"/>
      <c r="AJ39" s="184" t="n"/>
      <c r="AK39" s="184" t="n"/>
      <c r="AL39" s="205" t="n"/>
    </row>
    <row r="40" ht="20.1" customHeight="1" s="51">
      <c r="A40" s="3" t="n">
        <v>33</v>
      </c>
      <c r="B40" s="201" t="n"/>
      <c r="C40" s="184" t="n"/>
      <c r="D40" s="185" t="n"/>
      <c r="E40" s="9" t="inlineStr"/>
      <c r="F40" s="10" t="inlineStr"/>
      <c r="G40" s="10" t="inlineStr"/>
      <c r="H40" s="10" t="inlineStr"/>
      <c r="I40" s="14" t="inlineStr"/>
      <c r="J40" s="9" t="inlineStr"/>
      <c r="K40" s="10" t="inlineStr"/>
      <c r="L40" s="10" t="inlineStr"/>
      <c r="M40" s="10" t="inlineStr"/>
      <c r="N40" s="14" t="inlineStr"/>
      <c r="O40" s="11" t="n"/>
      <c r="P40" s="10" t="inlineStr"/>
      <c r="Q40" s="10" t="inlineStr"/>
      <c r="R40" s="11" t="n"/>
      <c r="S40" s="15" t="n"/>
      <c r="T40" s="9" t="inlineStr"/>
      <c r="U40" s="10" t="inlineStr"/>
      <c r="V40" s="10" t="inlineStr"/>
      <c r="W40" s="10" t="inlineStr"/>
      <c r="X40" s="14" t="inlineStr"/>
      <c r="Y40" s="12" t="inlineStr"/>
      <c r="Z40" s="13" t="inlineStr"/>
      <c r="AA40" s="10" t="inlineStr"/>
      <c r="AB40" s="10" t="inlineStr"/>
      <c r="AC40" s="15" t="n"/>
      <c r="AD40" s="204">
        <f>COUNTIF(E40:AC40,"x")</f>
        <v/>
      </c>
      <c r="AE40" s="205" t="n"/>
      <c r="AF40" s="204" t="inlineStr"/>
      <c r="AG40" s="205" t="n"/>
      <c r="AH40" s="206" t="inlineStr"/>
      <c r="AI40" s="184" t="n"/>
      <c r="AJ40" s="184" t="n"/>
      <c r="AK40" s="184" t="n"/>
      <c r="AL40" s="205" t="n"/>
    </row>
    <row r="41" ht="20.1" customHeight="1" s="51">
      <c r="A41" s="3" t="n">
        <v>34</v>
      </c>
      <c r="B41" s="201" t="n"/>
      <c r="C41" s="184" t="n"/>
      <c r="D41" s="185" t="n"/>
      <c r="E41" s="9" t="inlineStr"/>
      <c r="F41" s="10" t="inlineStr"/>
      <c r="G41" s="10" t="inlineStr"/>
      <c r="H41" s="10" t="inlineStr"/>
      <c r="I41" s="14" t="inlineStr"/>
      <c r="J41" s="9" t="inlineStr"/>
      <c r="K41" s="10" t="inlineStr"/>
      <c r="L41" s="10" t="inlineStr"/>
      <c r="M41" s="10" t="inlineStr"/>
      <c r="N41" s="14" t="inlineStr"/>
      <c r="O41" s="11" t="n"/>
      <c r="P41" s="10" t="inlineStr"/>
      <c r="Q41" s="10" t="inlineStr"/>
      <c r="R41" s="11" t="n"/>
      <c r="S41" s="15" t="n"/>
      <c r="T41" s="9" t="inlineStr"/>
      <c r="U41" s="10" t="inlineStr"/>
      <c r="V41" s="10" t="inlineStr"/>
      <c r="W41" s="10" t="inlineStr"/>
      <c r="X41" s="14" t="inlineStr"/>
      <c r="Y41" s="12" t="inlineStr"/>
      <c r="Z41" s="13" t="inlineStr"/>
      <c r="AA41" s="10" t="inlineStr"/>
      <c r="AB41" s="10" t="inlineStr"/>
      <c r="AC41" s="15" t="n"/>
      <c r="AD41" s="204">
        <f>COUNTIF(E41:AC41,"x")</f>
        <v/>
      </c>
      <c r="AE41" s="205" t="n"/>
      <c r="AF41" s="204" t="inlineStr"/>
      <c r="AG41" s="205" t="n"/>
      <c r="AH41" s="206" t="inlineStr"/>
      <c r="AI41" s="184" t="n"/>
      <c r="AJ41" s="184" t="n"/>
      <c r="AK41" s="184" t="n"/>
      <c r="AL41" s="205" t="n"/>
    </row>
    <row r="42" ht="20.1" customHeight="1" s="51">
      <c r="A42" s="3" t="n">
        <v>35</v>
      </c>
      <c r="B42" s="201" t="n"/>
      <c r="C42" s="184" t="n"/>
      <c r="D42" s="185" t="n"/>
      <c r="E42" s="9" t="inlineStr"/>
      <c r="F42" s="10" t="inlineStr"/>
      <c r="G42" s="10" t="inlineStr"/>
      <c r="H42" s="10" t="inlineStr"/>
      <c r="I42" s="14" t="inlineStr"/>
      <c r="J42" s="9" t="inlineStr"/>
      <c r="K42" s="10" t="inlineStr"/>
      <c r="L42" s="10" t="inlineStr"/>
      <c r="M42" s="10" t="inlineStr"/>
      <c r="N42" s="14" t="inlineStr"/>
      <c r="O42" s="11" t="n"/>
      <c r="P42" s="10" t="inlineStr"/>
      <c r="Q42" s="10" t="inlineStr"/>
      <c r="R42" s="11" t="n"/>
      <c r="S42" s="15" t="n"/>
      <c r="T42" s="9" t="inlineStr"/>
      <c r="U42" s="10" t="inlineStr"/>
      <c r="V42" s="10" t="inlineStr"/>
      <c r="W42" s="10" t="inlineStr"/>
      <c r="X42" s="14" t="inlineStr"/>
      <c r="Y42" s="12" t="inlineStr"/>
      <c r="Z42" s="13" t="inlineStr"/>
      <c r="AA42" s="10" t="inlineStr"/>
      <c r="AB42" s="10" t="inlineStr"/>
      <c r="AC42" s="15" t="n"/>
      <c r="AD42" s="204">
        <f>COUNTIF(E42:AC42,"x")</f>
        <v/>
      </c>
      <c r="AE42" s="205" t="n"/>
      <c r="AF42" s="204" t="inlineStr"/>
      <c r="AG42" s="205" t="n"/>
      <c r="AH42" s="206" t="inlineStr"/>
      <c r="AI42" s="184" t="n"/>
      <c r="AJ42" s="184" t="n"/>
      <c r="AK42" s="184" t="n"/>
      <c r="AL42" s="205" t="n"/>
    </row>
    <row r="43" ht="20.1" customHeight="1" s="51">
      <c r="A43" s="3" t="n">
        <v>36</v>
      </c>
      <c r="B43" s="201" t="n"/>
      <c r="C43" s="184" t="n"/>
      <c r="D43" s="185" t="n"/>
      <c r="E43" s="9" t="inlineStr"/>
      <c r="F43" s="10" t="inlineStr"/>
      <c r="G43" s="10" t="inlineStr"/>
      <c r="H43" s="10" t="inlineStr"/>
      <c r="I43" s="14" t="inlineStr"/>
      <c r="J43" s="9" t="inlineStr"/>
      <c r="K43" s="10" t="inlineStr"/>
      <c r="L43" s="10" t="inlineStr"/>
      <c r="M43" s="10" t="inlineStr"/>
      <c r="N43" s="14" t="inlineStr"/>
      <c r="O43" s="11" t="n"/>
      <c r="P43" s="10" t="inlineStr"/>
      <c r="Q43" s="10" t="inlineStr"/>
      <c r="R43" s="11" t="n"/>
      <c r="S43" s="15" t="n"/>
      <c r="T43" s="9" t="inlineStr"/>
      <c r="U43" s="10" t="inlineStr"/>
      <c r="V43" s="10" t="inlineStr"/>
      <c r="W43" s="10" t="inlineStr"/>
      <c r="X43" s="14" t="inlineStr"/>
      <c r="Y43" s="12" t="inlineStr"/>
      <c r="Z43" s="13" t="inlineStr"/>
      <c r="AA43" s="10" t="inlineStr"/>
      <c r="AB43" s="10" t="inlineStr"/>
      <c r="AC43" s="15" t="n"/>
      <c r="AD43" s="204">
        <f>COUNTIF(E43:AC43,"x")</f>
        <v/>
      </c>
      <c r="AE43" s="205" t="n"/>
      <c r="AF43" s="204" t="inlineStr"/>
      <c r="AG43" s="205" t="n"/>
      <c r="AH43" s="206" t="inlineStr"/>
      <c r="AI43" s="184" t="n"/>
      <c r="AJ43" s="184" t="n"/>
      <c r="AK43" s="184" t="n"/>
      <c r="AL43" s="205" t="n"/>
    </row>
    <row r="44" ht="20.1" customHeight="1" s="51">
      <c r="A44" s="3" t="n">
        <v>37</v>
      </c>
      <c r="B44" s="201" t="n"/>
      <c r="C44" s="184" t="n"/>
      <c r="D44" s="185" t="n"/>
      <c r="E44" s="9" t="inlineStr"/>
      <c r="F44" s="10" t="inlineStr"/>
      <c r="G44" s="10" t="inlineStr"/>
      <c r="H44" s="10" t="inlineStr"/>
      <c r="I44" s="14" t="inlineStr"/>
      <c r="J44" s="9" t="inlineStr"/>
      <c r="K44" s="10" t="inlineStr"/>
      <c r="L44" s="10" t="inlineStr"/>
      <c r="M44" s="10" t="inlineStr"/>
      <c r="N44" s="14" t="inlineStr"/>
      <c r="O44" s="11" t="n"/>
      <c r="P44" s="10" t="inlineStr"/>
      <c r="Q44" s="10" t="inlineStr"/>
      <c r="R44" s="11" t="n"/>
      <c r="S44" s="15" t="n"/>
      <c r="T44" s="9" t="inlineStr"/>
      <c r="U44" s="10" t="inlineStr"/>
      <c r="V44" s="10" t="inlineStr"/>
      <c r="W44" s="10" t="inlineStr"/>
      <c r="X44" s="14" t="inlineStr"/>
      <c r="Y44" s="12" t="inlineStr"/>
      <c r="Z44" s="13" t="inlineStr"/>
      <c r="AA44" s="10" t="inlineStr"/>
      <c r="AB44" s="10" t="inlineStr"/>
      <c r="AC44" s="15" t="n"/>
      <c r="AD44" s="204">
        <f>COUNTIF(E44:AC44,"x")</f>
        <v/>
      </c>
      <c r="AE44" s="205" t="n"/>
      <c r="AF44" s="204" t="inlineStr"/>
      <c r="AG44" s="205" t="n"/>
      <c r="AH44" s="206" t="inlineStr"/>
      <c r="AI44" s="184" t="n"/>
      <c r="AJ44" s="184" t="n"/>
      <c r="AK44" s="184" t="n"/>
      <c r="AL44" s="205" t="n"/>
    </row>
    <row r="45" ht="20.1" customHeight="1" s="51">
      <c r="A45" s="3" t="n">
        <v>38</v>
      </c>
      <c r="B45" s="201" t="n"/>
      <c r="C45" s="184" t="n"/>
      <c r="D45" s="185" t="n"/>
      <c r="E45" s="9" t="inlineStr"/>
      <c r="F45" s="10" t="inlineStr"/>
      <c r="G45" s="10" t="inlineStr"/>
      <c r="H45" s="10" t="inlineStr"/>
      <c r="I45" s="14" t="inlineStr"/>
      <c r="J45" s="9" t="inlineStr"/>
      <c r="K45" s="10" t="inlineStr"/>
      <c r="L45" s="10" t="inlineStr"/>
      <c r="M45" s="10" t="inlineStr"/>
      <c r="N45" s="14" t="inlineStr"/>
      <c r="O45" s="11" t="n"/>
      <c r="P45" s="10" t="inlineStr"/>
      <c r="Q45" s="10" t="inlineStr"/>
      <c r="R45" s="11" t="n"/>
      <c r="S45" s="15" t="n"/>
      <c r="T45" s="9" t="inlineStr"/>
      <c r="U45" s="10" t="inlineStr"/>
      <c r="V45" s="10" t="inlineStr"/>
      <c r="W45" s="10" t="inlineStr"/>
      <c r="X45" s="14" t="inlineStr"/>
      <c r="Y45" s="12" t="inlineStr"/>
      <c r="Z45" s="13" t="inlineStr"/>
      <c r="AA45" s="10" t="inlineStr"/>
      <c r="AB45" s="10" t="inlineStr"/>
      <c r="AC45" s="15" t="n"/>
      <c r="AD45" s="204">
        <f>COUNTIF(E45:AC45,"x")</f>
        <v/>
      </c>
      <c r="AE45" s="205" t="n"/>
      <c r="AF45" s="204" t="inlineStr"/>
      <c r="AG45" s="205" t="n"/>
      <c r="AH45" s="206" t="inlineStr"/>
      <c r="AI45" s="184" t="n"/>
      <c r="AJ45" s="184" t="n"/>
      <c r="AK45" s="184" t="n"/>
      <c r="AL45" s="205" t="n"/>
    </row>
    <row r="46" ht="20.1" customHeight="1" s="51">
      <c r="A46" s="3" t="n">
        <v>39</v>
      </c>
      <c r="B46" s="201" t="n"/>
      <c r="C46" s="184" t="n"/>
      <c r="D46" s="185" t="n"/>
      <c r="E46" s="9" t="inlineStr"/>
      <c r="F46" s="10" t="inlineStr"/>
      <c r="G46" s="10" t="inlineStr"/>
      <c r="H46" s="10" t="inlineStr"/>
      <c r="I46" s="14" t="inlineStr"/>
      <c r="J46" s="9" t="inlineStr"/>
      <c r="K46" s="10" t="inlineStr"/>
      <c r="L46" s="10" t="inlineStr"/>
      <c r="M46" s="10" t="inlineStr"/>
      <c r="N46" s="14" t="inlineStr"/>
      <c r="O46" s="11" t="n"/>
      <c r="P46" s="10" t="inlineStr"/>
      <c r="Q46" s="10" t="inlineStr"/>
      <c r="R46" s="11" t="n"/>
      <c r="S46" s="15" t="n"/>
      <c r="T46" s="9" t="inlineStr"/>
      <c r="U46" s="10" t="inlineStr"/>
      <c r="V46" s="10" t="inlineStr"/>
      <c r="W46" s="10" t="inlineStr"/>
      <c r="X46" s="14" t="inlineStr"/>
      <c r="Y46" s="12" t="inlineStr"/>
      <c r="Z46" s="13" t="inlineStr"/>
      <c r="AA46" s="10" t="inlineStr"/>
      <c r="AB46" s="10" t="inlineStr"/>
      <c r="AC46" s="15" t="n"/>
      <c r="AD46" s="204">
        <f>COUNTIF(E46:AC46,"x")</f>
        <v/>
      </c>
      <c r="AE46" s="205" t="n"/>
      <c r="AF46" s="204" t="inlineStr"/>
      <c r="AG46" s="205" t="n"/>
      <c r="AH46" s="206" t="inlineStr"/>
      <c r="AI46" s="184" t="n"/>
      <c r="AJ46" s="184" t="n"/>
      <c r="AK46" s="184" t="n"/>
      <c r="AL46" s="205" t="n"/>
    </row>
    <row r="47" ht="20.1" customHeight="1" s="51">
      <c r="A47" s="3" t="n">
        <v>40</v>
      </c>
      <c r="B47" s="201" t="n"/>
      <c r="C47" s="184" t="n"/>
      <c r="D47" s="185" t="n"/>
      <c r="E47" s="9" t="inlineStr"/>
      <c r="F47" s="10" t="inlineStr"/>
      <c r="G47" s="10" t="inlineStr"/>
      <c r="H47" s="10" t="inlineStr"/>
      <c r="I47" s="14" t="inlineStr"/>
      <c r="J47" s="9" t="inlineStr"/>
      <c r="K47" s="10" t="inlineStr"/>
      <c r="L47" s="10" t="inlineStr"/>
      <c r="M47" s="10" t="inlineStr"/>
      <c r="N47" s="14" t="inlineStr"/>
      <c r="O47" s="11" t="n"/>
      <c r="P47" s="10" t="inlineStr"/>
      <c r="Q47" s="10" t="inlineStr"/>
      <c r="R47" s="11" t="n"/>
      <c r="S47" s="15" t="n"/>
      <c r="T47" s="9" t="inlineStr"/>
      <c r="U47" s="10" t="inlineStr"/>
      <c r="V47" s="10" t="inlineStr"/>
      <c r="W47" s="10" t="inlineStr"/>
      <c r="X47" s="14" t="inlineStr"/>
      <c r="Y47" s="12" t="inlineStr"/>
      <c r="Z47" s="13" t="inlineStr"/>
      <c r="AA47" s="10" t="inlineStr"/>
      <c r="AB47" s="10" t="inlineStr"/>
      <c r="AC47" s="15" t="n"/>
      <c r="AD47" s="204">
        <f>COUNTIF(E47:AC47,"x")</f>
        <v/>
      </c>
      <c r="AE47" s="205" t="n"/>
      <c r="AF47" s="204" t="inlineStr"/>
      <c r="AG47" s="205" t="n"/>
      <c r="AH47" s="206" t="inlineStr"/>
      <c r="AI47" s="184" t="n"/>
      <c r="AJ47" s="184" t="n"/>
      <c r="AK47" s="184" t="n"/>
      <c r="AL47" s="205" t="n"/>
    </row>
    <row r="48" ht="20.1" customHeight="1" s="51">
      <c r="A48" s="3" t="n">
        <v>41</v>
      </c>
      <c r="B48" s="201" t="n"/>
      <c r="C48" s="184" t="n"/>
      <c r="D48" s="185" t="n"/>
      <c r="E48" s="9" t="inlineStr"/>
      <c r="F48" s="10" t="inlineStr"/>
      <c r="G48" s="10" t="inlineStr"/>
      <c r="H48" s="10" t="inlineStr"/>
      <c r="I48" s="14" t="inlineStr"/>
      <c r="J48" s="9" t="inlineStr"/>
      <c r="K48" s="10" t="inlineStr"/>
      <c r="L48" s="10" t="inlineStr"/>
      <c r="M48" s="10" t="inlineStr"/>
      <c r="N48" s="14" t="inlineStr"/>
      <c r="O48" s="11" t="n"/>
      <c r="P48" s="10" t="inlineStr"/>
      <c r="Q48" s="10" t="inlineStr"/>
      <c r="R48" s="11" t="n"/>
      <c r="S48" s="15" t="n"/>
      <c r="T48" s="9" t="inlineStr"/>
      <c r="U48" s="10" t="inlineStr"/>
      <c r="V48" s="10" t="inlineStr"/>
      <c r="W48" s="10" t="inlineStr"/>
      <c r="X48" s="14" t="inlineStr"/>
      <c r="Y48" s="12" t="inlineStr"/>
      <c r="Z48" s="13" t="inlineStr"/>
      <c r="AA48" s="10" t="inlineStr"/>
      <c r="AB48" s="10" t="inlineStr"/>
      <c r="AC48" s="15" t="n"/>
      <c r="AD48" s="204">
        <f>COUNTIF(E48:AC48,"x")</f>
        <v/>
      </c>
      <c r="AE48" s="205" t="n"/>
      <c r="AF48" s="204" t="inlineStr"/>
      <c r="AG48" s="205" t="n"/>
      <c r="AH48" s="206" t="inlineStr"/>
      <c r="AI48" s="184" t="n"/>
      <c r="AJ48" s="184" t="n"/>
      <c r="AK48" s="184" t="n"/>
      <c r="AL48" s="205" t="n"/>
    </row>
    <row r="49" ht="20.1" customHeight="1" s="51">
      <c r="A49" s="3" t="n">
        <v>42</v>
      </c>
      <c r="B49" s="201" t="n"/>
      <c r="C49" s="184" t="n"/>
      <c r="D49" s="185" t="n"/>
      <c r="E49" s="9" t="inlineStr"/>
      <c r="F49" s="10" t="inlineStr"/>
      <c r="G49" s="10" t="inlineStr"/>
      <c r="H49" s="10" t="inlineStr"/>
      <c r="I49" s="14" t="inlineStr"/>
      <c r="J49" s="9" t="inlineStr"/>
      <c r="K49" s="10" t="inlineStr"/>
      <c r="L49" s="10" t="inlineStr"/>
      <c r="M49" s="10" t="inlineStr"/>
      <c r="N49" s="14" t="inlineStr"/>
      <c r="O49" s="11" t="n"/>
      <c r="P49" s="10" t="inlineStr"/>
      <c r="Q49" s="10" t="inlineStr"/>
      <c r="R49" s="11" t="n"/>
      <c r="S49" s="15" t="n"/>
      <c r="T49" s="9" t="inlineStr"/>
      <c r="U49" s="10" t="inlineStr"/>
      <c r="V49" s="10" t="inlineStr"/>
      <c r="W49" s="10" t="inlineStr"/>
      <c r="X49" s="14" t="inlineStr"/>
      <c r="Y49" s="12" t="inlineStr"/>
      <c r="Z49" s="13" t="inlineStr"/>
      <c r="AA49" s="10" t="inlineStr"/>
      <c r="AB49" s="10" t="inlineStr"/>
      <c r="AC49" s="15" t="n"/>
      <c r="AD49" s="204">
        <f>COUNTIF(E49:AC49,"x")</f>
        <v/>
      </c>
      <c r="AE49" s="205" t="n"/>
      <c r="AF49" s="204" t="inlineStr"/>
      <c r="AG49" s="205" t="n"/>
      <c r="AH49" s="206" t="inlineStr"/>
      <c r="AI49" s="184" t="n"/>
      <c r="AJ49" s="184" t="n"/>
      <c r="AK49" s="184" t="n"/>
      <c r="AL49" s="205" t="n"/>
    </row>
    <row r="50" ht="20.1" customHeight="1" s="51">
      <c r="A50" s="3" t="n">
        <v>43</v>
      </c>
      <c r="B50" s="201" t="n"/>
      <c r="C50" s="184" t="n"/>
      <c r="D50" s="185" t="n"/>
      <c r="E50" s="9" t="inlineStr"/>
      <c r="F50" s="10" t="inlineStr"/>
      <c r="G50" s="10" t="inlineStr"/>
      <c r="H50" s="10" t="inlineStr"/>
      <c r="I50" s="14" t="inlineStr"/>
      <c r="J50" s="9" t="inlineStr"/>
      <c r="K50" s="10" t="inlineStr"/>
      <c r="L50" s="10" t="inlineStr"/>
      <c r="M50" s="10" t="inlineStr"/>
      <c r="N50" s="14" t="inlineStr"/>
      <c r="O50" s="11" t="n"/>
      <c r="P50" s="10" t="inlineStr"/>
      <c r="Q50" s="10" t="inlineStr"/>
      <c r="R50" s="11" t="n"/>
      <c r="S50" s="15" t="n"/>
      <c r="T50" s="9" t="inlineStr"/>
      <c r="U50" s="10" t="inlineStr"/>
      <c r="V50" s="10" t="inlineStr"/>
      <c r="W50" s="10" t="inlineStr"/>
      <c r="X50" s="14" t="inlineStr"/>
      <c r="Y50" s="12" t="inlineStr"/>
      <c r="Z50" s="13" t="inlineStr"/>
      <c r="AA50" s="10" t="inlineStr"/>
      <c r="AB50" s="10" t="inlineStr"/>
      <c r="AC50" s="15" t="n"/>
      <c r="AD50" s="204">
        <f>COUNTIF(E50:AC50,"x")</f>
        <v/>
      </c>
      <c r="AE50" s="205" t="n"/>
      <c r="AF50" s="204" t="inlineStr"/>
      <c r="AG50" s="205" t="n"/>
      <c r="AH50" s="206" t="inlineStr"/>
      <c r="AI50" s="184" t="n"/>
      <c r="AJ50" s="184" t="n"/>
      <c r="AK50" s="184" t="n"/>
      <c r="AL50" s="205" t="n"/>
    </row>
    <row r="51" ht="20.1" customHeight="1" s="51">
      <c r="A51" s="3" t="n">
        <v>44</v>
      </c>
      <c r="B51" s="201" t="n"/>
      <c r="C51" s="184" t="n"/>
      <c r="D51" s="185" t="n"/>
      <c r="E51" s="9" t="inlineStr"/>
      <c r="F51" s="10" t="inlineStr"/>
      <c r="G51" s="10" t="inlineStr"/>
      <c r="H51" s="10" t="inlineStr"/>
      <c r="I51" s="14" t="inlineStr"/>
      <c r="J51" s="9" t="inlineStr"/>
      <c r="K51" s="10" t="inlineStr"/>
      <c r="L51" s="10" t="inlineStr"/>
      <c r="M51" s="10" t="inlineStr"/>
      <c r="N51" s="14" t="inlineStr"/>
      <c r="O51" s="11" t="n"/>
      <c r="P51" s="10" t="inlineStr"/>
      <c r="Q51" s="10" t="inlineStr"/>
      <c r="R51" s="11" t="n"/>
      <c r="S51" s="15" t="n"/>
      <c r="T51" s="9" t="inlineStr"/>
      <c r="U51" s="10" t="inlineStr"/>
      <c r="V51" s="10" t="inlineStr"/>
      <c r="W51" s="10" t="inlineStr"/>
      <c r="X51" s="14" t="inlineStr"/>
      <c r="Y51" s="12" t="inlineStr"/>
      <c r="Z51" s="13" t="inlineStr"/>
      <c r="AA51" s="10" t="inlineStr"/>
      <c r="AB51" s="10" t="inlineStr"/>
      <c r="AC51" s="15" t="n"/>
      <c r="AD51" s="204">
        <f>COUNTIF(E51:AC51,"x")</f>
        <v/>
      </c>
      <c r="AE51" s="205" t="n"/>
      <c r="AF51" s="204" t="inlineStr"/>
      <c r="AG51" s="205" t="n"/>
      <c r="AH51" s="206" t="inlineStr"/>
      <c r="AI51" s="184" t="n"/>
      <c r="AJ51" s="184" t="n"/>
      <c r="AK51" s="184" t="n"/>
      <c r="AL51" s="205" t="n"/>
    </row>
    <row r="52" ht="20.1" customHeight="1" s="51">
      <c r="A52" s="3" t="n">
        <v>45</v>
      </c>
      <c r="B52" s="201" t="n"/>
      <c r="C52" s="184" t="n"/>
      <c r="D52" s="185" t="n"/>
      <c r="E52" s="9" t="inlineStr">
        <is>
          <t>X</t>
        </is>
      </c>
      <c r="F52" s="10" t="inlineStr">
        <is>
          <t>X</t>
        </is>
      </c>
      <c r="G52" s="10" t="inlineStr">
        <is>
          <t>X</t>
        </is>
      </c>
      <c r="H52" s="10" t="inlineStr">
        <is>
          <t>X</t>
        </is>
      </c>
      <c r="I52" s="14" t="inlineStr">
        <is>
          <t>X</t>
        </is>
      </c>
      <c r="J52" s="9" t="inlineStr">
        <is>
          <t>X</t>
        </is>
      </c>
      <c r="K52" s="10" t="inlineStr">
        <is>
          <t>X</t>
        </is>
      </c>
      <c r="L52" s="10" t="inlineStr">
        <is>
          <t>X</t>
        </is>
      </c>
      <c r="M52" s="10" t="inlineStr">
        <is>
          <t>X</t>
        </is>
      </c>
      <c r="N52" s="14" t="inlineStr">
        <is>
          <t>X</t>
        </is>
      </c>
      <c r="O52" s="11" t="inlineStr">
        <is>
          <t>X</t>
        </is>
      </c>
      <c r="P52" s="10" t="inlineStr">
        <is>
          <t>X</t>
        </is>
      </c>
      <c r="Q52" s="10" t="inlineStr">
        <is>
          <t>X</t>
        </is>
      </c>
      <c r="R52" s="11" t="inlineStr">
        <is>
          <t>X</t>
        </is>
      </c>
      <c r="S52" s="15" t="inlineStr">
        <is>
          <t>X</t>
        </is>
      </c>
      <c r="T52" s="9" t="inlineStr">
        <is>
          <t>X</t>
        </is>
      </c>
      <c r="U52" s="10" t="inlineStr">
        <is>
          <t>X</t>
        </is>
      </c>
      <c r="V52" s="10" t="inlineStr">
        <is>
          <t>X</t>
        </is>
      </c>
      <c r="W52" s="10" t="inlineStr">
        <is>
          <t>X</t>
        </is>
      </c>
      <c r="X52" s="14" t="inlineStr">
        <is>
          <t>X</t>
        </is>
      </c>
      <c r="Y52" s="12" t="inlineStr">
        <is>
          <t>X</t>
        </is>
      </c>
      <c r="Z52" s="13" t="inlineStr">
        <is>
          <t>X</t>
        </is>
      </c>
      <c r="AA52" s="10" t="inlineStr">
        <is>
          <t>X</t>
        </is>
      </c>
      <c r="AB52" s="10" t="inlineStr">
        <is>
          <t>X</t>
        </is>
      </c>
      <c r="AC52" s="15" t="inlineStr">
        <is>
          <t>X</t>
        </is>
      </c>
      <c r="AD52" s="204">
        <f>COUNTIF(E52:AC52,"x")</f>
        <v/>
      </c>
      <c r="AE52" s="205" t="n"/>
      <c r="AF52" s="204" t="inlineStr"/>
      <c r="AG52" s="205" t="n"/>
      <c r="AH52" s="206" t="inlineStr"/>
      <c r="AI52" s="184" t="n"/>
      <c r="AJ52" s="184" t="n"/>
      <c r="AK52" s="184" t="n"/>
      <c r="AL52" s="205" t="n"/>
    </row>
    <row r="53" ht="20.1" customHeight="1" s="51">
      <c r="A53" s="3" t="n">
        <v>46</v>
      </c>
      <c r="B53" s="201" t="n"/>
      <c r="C53" s="184" t="n"/>
      <c r="D53" s="185" t="n"/>
      <c r="E53" s="9" t="inlineStr"/>
      <c r="F53" s="10" t="inlineStr"/>
      <c r="G53" s="10" t="inlineStr"/>
      <c r="H53" s="10" t="inlineStr"/>
      <c r="I53" s="14" t="inlineStr"/>
      <c r="J53" s="9" t="inlineStr"/>
      <c r="K53" s="10" t="inlineStr"/>
      <c r="L53" s="10" t="inlineStr"/>
      <c r="M53" s="10" t="inlineStr"/>
      <c r="N53" s="14" t="inlineStr"/>
      <c r="O53" s="11" t="n"/>
      <c r="P53" s="10" t="inlineStr"/>
      <c r="Q53" s="10" t="inlineStr"/>
      <c r="R53" s="11" t="n"/>
      <c r="S53" s="15" t="n"/>
      <c r="T53" s="9" t="inlineStr"/>
      <c r="U53" s="10" t="inlineStr"/>
      <c r="V53" s="10" t="inlineStr"/>
      <c r="W53" s="10" t="inlineStr"/>
      <c r="X53" s="14" t="inlineStr"/>
      <c r="Y53" s="12" t="inlineStr"/>
      <c r="Z53" s="13" t="inlineStr"/>
      <c r="AA53" s="10" t="inlineStr"/>
      <c r="AB53" s="10" t="inlineStr"/>
      <c r="AC53" s="15" t="n"/>
      <c r="AD53" s="204">
        <f>COUNTIF(E53:AC53,"x")</f>
        <v/>
      </c>
      <c r="AE53" s="205" t="n"/>
      <c r="AF53" s="204" t="inlineStr"/>
      <c r="AG53" s="205" t="n"/>
      <c r="AH53" s="206" t="inlineStr"/>
      <c r="AI53" s="184" t="n"/>
      <c r="AJ53" s="184" t="n"/>
      <c r="AK53" s="184" t="n"/>
      <c r="AL53" s="205" t="n"/>
    </row>
    <row r="54" ht="20.1" customHeight="1" s="51">
      <c r="A54" s="3" t="n">
        <v>47</v>
      </c>
      <c r="B54" s="201" t="n"/>
      <c r="C54" s="184" t="n"/>
      <c r="D54" s="185" t="n"/>
      <c r="E54" s="9" t="inlineStr"/>
      <c r="F54" s="10" t="inlineStr"/>
      <c r="G54" s="10" t="inlineStr"/>
      <c r="H54" s="10" t="inlineStr"/>
      <c r="I54" s="14" t="inlineStr"/>
      <c r="J54" s="9" t="inlineStr"/>
      <c r="K54" s="10" t="inlineStr"/>
      <c r="L54" s="10" t="inlineStr"/>
      <c r="M54" s="10" t="inlineStr"/>
      <c r="N54" s="14" t="inlineStr"/>
      <c r="O54" s="11" t="n"/>
      <c r="P54" s="10" t="inlineStr"/>
      <c r="Q54" s="10" t="inlineStr"/>
      <c r="R54" s="11" t="n"/>
      <c r="S54" s="15" t="n"/>
      <c r="T54" s="9" t="inlineStr"/>
      <c r="U54" s="10" t="inlineStr"/>
      <c r="V54" s="10" t="inlineStr"/>
      <c r="W54" s="10" t="inlineStr"/>
      <c r="X54" s="14" t="inlineStr"/>
      <c r="Y54" s="12" t="inlineStr"/>
      <c r="Z54" s="13" t="inlineStr"/>
      <c r="AA54" s="10" t="inlineStr"/>
      <c r="AB54" s="10" t="inlineStr"/>
      <c r="AC54" s="15" t="n"/>
      <c r="AD54" s="204">
        <f>COUNTIF(E54:AC54,"x")</f>
        <v/>
      </c>
      <c r="AE54" s="205" t="n"/>
      <c r="AF54" s="204" t="inlineStr"/>
      <c r="AG54" s="205" t="n"/>
      <c r="AH54" s="206" t="inlineStr"/>
      <c r="AI54" s="184" t="n"/>
      <c r="AJ54" s="184" t="n"/>
      <c r="AK54" s="184" t="n"/>
      <c r="AL54" s="205" t="n"/>
    </row>
    <row r="55" ht="20.1" customHeight="1" s="51">
      <c r="A55" s="3" t="n">
        <v>48</v>
      </c>
      <c r="B55" s="201" t="n"/>
      <c r="C55" s="184" t="n"/>
      <c r="D55" s="185" t="n"/>
      <c r="E55" s="9" t="inlineStr"/>
      <c r="F55" s="10" t="inlineStr"/>
      <c r="G55" s="10" t="inlineStr"/>
      <c r="H55" s="10" t="inlineStr"/>
      <c r="I55" s="14" t="inlineStr"/>
      <c r="J55" s="9" t="inlineStr"/>
      <c r="K55" s="10" t="inlineStr"/>
      <c r="L55" s="10" t="inlineStr"/>
      <c r="M55" s="10" t="inlineStr"/>
      <c r="N55" s="14" t="inlineStr"/>
      <c r="O55" s="11" t="n"/>
      <c r="P55" s="10" t="inlineStr"/>
      <c r="Q55" s="10" t="inlineStr"/>
      <c r="R55" s="11" t="n"/>
      <c r="S55" s="15" t="n"/>
      <c r="T55" s="9" t="inlineStr"/>
      <c r="U55" s="10" t="inlineStr"/>
      <c r="V55" s="10" t="inlineStr"/>
      <c r="W55" s="10" t="inlineStr"/>
      <c r="X55" s="14" t="inlineStr"/>
      <c r="Y55" s="12" t="inlineStr"/>
      <c r="Z55" s="13" t="inlineStr"/>
      <c r="AA55" s="10" t="inlineStr"/>
      <c r="AB55" s="10" t="inlineStr"/>
      <c r="AC55" s="15" t="n"/>
      <c r="AD55" s="204">
        <f>COUNTIF(E55:AC55,"x")</f>
        <v/>
      </c>
      <c r="AE55" s="205" t="n"/>
      <c r="AF55" s="204" t="inlineStr"/>
      <c r="AG55" s="205" t="n"/>
      <c r="AH55" s="206" t="inlineStr"/>
      <c r="AI55" s="184" t="n"/>
      <c r="AJ55" s="184" t="n"/>
      <c r="AK55" s="184" t="n"/>
      <c r="AL55" s="205" t="n"/>
    </row>
    <row r="56" ht="20.1" customHeight="1" s="51">
      <c r="A56" s="3" t="n">
        <v>49</v>
      </c>
      <c r="B56" s="201" t="n"/>
      <c r="C56" s="184" t="n"/>
      <c r="D56" s="185" t="n"/>
      <c r="E56" s="9" t="inlineStr"/>
      <c r="F56" s="10" t="inlineStr"/>
      <c r="G56" s="10" t="inlineStr"/>
      <c r="H56" s="10" t="inlineStr"/>
      <c r="I56" s="14" t="inlineStr"/>
      <c r="J56" s="9" t="inlineStr"/>
      <c r="K56" s="10" t="inlineStr"/>
      <c r="L56" s="10" t="inlineStr"/>
      <c r="M56" s="10" t="inlineStr"/>
      <c r="N56" s="14" t="inlineStr"/>
      <c r="O56" s="11" t="n"/>
      <c r="P56" s="10" t="inlineStr"/>
      <c r="Q56" s="10" t="inlineStr"/>
      <c r="R56" s="11" t="n"/>
      <c r="S56" s="15" t="n"/>
      <c r="T56" s="9" t="inlineStr"/>
      <c r="U56" s="10" t="inlineStr"/>
      <c r="V56" s="10" t="inlineStr"/>
      <c r="W56" s="10" t="inlineStr"/>
      <c r="X56" s="14" t="inlineStr"/>
      <c r="Y56" s="12" t="inlineStr"/>
      <c r="Z56" s="13" t="inlineStr"/>
      <c r="AA56" s="10" t="inlineStr"/>
      <c r="AB56" s="10" t="inlineStr"/>
      <c r="AC56" s="15" t="n"/>
      <c r="AD56" s="204">
        <f>COUNTIF(E56:AC56,"x")</f>
        <v/>
      </c>
      <c r="AE56" s="205" t="n"/>
      <c r="AF56" s="204" t="inlineStr"/>
      <c r="AG56" s="205" t="n"/>
      <c r="AH56" s="206" t="inlineStr"/>
      <c r="AI56" s="184" t="n"/>
      <c r="AJ56" s="184" t="n"/>
      <c r="AK56" s="184" t="n"/>
      <c r="AL56" s="205" t="n"/>
    </row>
    <row r="57" ht="20.1" customHeight="1" s="51" thickBot="1">
      <c r="A57" s="3" t="n">
        <v>50</v>
      </c>
      <c r="B57" s="201" t="n"/>
      <c r="C57" s="184" t="n"/>
      <c r="D57" s="185" t="n"/>
      <c r="E57" s="16" t="inlineStr"/>
      <c r="F57" s="17" t="inlineStr"/>
      <c r="G57" s="17" t="inlineStr"/>
      <c r="H57" s="17" t="inlineStr"/>
      <c r="I57" s="18" t="inlineStr"/>
      <c r="J57" s="16" t="inlineStr"/>
      <c r="K57" s="17" t="inlineStr"/>
      <c r="L57" s="17" t="inlineStr"/>
      <c r="M57" s="17" t="inlineStr"/>
      <c r="N57" s="18" t="inlineStr"/>
      <c r="O57" s="19" t="n"/>
      <c r="P57" s="17" t="inlineStr"/>
      <c r="Q57" s="17" t="inlineStr"/>
      <c r="R57" s="19" t="n"/>
      <c r="S57" s="20" t="n"/>
      <c r="T57" s="16" t="inlineStr"/>
      <c r="U57" s="17" t="inlineStr"/>
      <c r="V57" s="17" t="inlineStr"/>
      <c r="W57" s="17" t="inlineStr"/>
      <c r="X57" s="18" t="inlineStr"/>
      <c r="Y57" s="21" t="inlineStr"/>
      <c r="Z57" s="22" t="inlineStr"/>
      <c r="AA57" s="17" t="inlineStr"/>
      <c r="AB57" s="17" t="inlineStr"/>
      <c r="AC57" s="20" t="n"/>
      <c r="AD57" s="207">
        <f>COUNTIF(E57:AC57,"x")</f>
        <v/>
      </c>
      <c r="AE57" s="208" t="n"/>
      <c r="AF57" s="204" t="inlineStr"/>
      <c r="AG57" s="205" t="n"/>
      <c r="AH57" s="206" t="inlineStr"/>
      <c r="AI57" s="184" t="n"/>
      <c r="AJ57" s="184" t="n"/>
      <c r="AK57" s="184" t="n"/>
      <c r="AL57" s="205" t="n"/>
    </row>
    <row r="58" ht="20.1" customHeight="1" s="51" thickBot="1" thickTop="1">
      <c r="A58" s="4">
        <f>COUNT(A8:A57)</f>
        <v/>
      </c>
      <c r="B58" s="209" t="inlineStr">
        <is>
          <t>&lt;=== MALE | TOTAL Per Day ===&gt;</t>
        </is>
      </c>
      <c r="C58" s="210" t="n"/>
      <c r="D58" s="211" t="n"/>
      <c r="E58" s="23">
        <f>IF(COUNTBLANK(E6)," ",COUNTBLANK(E8:E57))</f>
        <v/>
      </c>
      <c r="F58" s="24">
        <f>IF(COUNTBLANK(F6)," ",COUNTBLANK(F8:F57))</f>
        <v/>
      </c>
      <c r="G58" s="24">
        <f>IF(COUNTBLANK(G6)," ",COUNTBLANK(G8:G57))</f>
        <v/>
      </c>
      <c r="H58" s="24">
        <f>IF(COUNTBLANK(H6)," ",COUNTBLANK(H8:H57))</f>
        <v/>
      </c>
      <c r="I58" s="26">
        <f>IF(COUNTBLANK(I6)," ",COUNTBLANK(I8:I57))</f>
        <v/>
      </c>
      <c r="J58" s="27">
        <f>IF(COUNTBLANK(J6)," ",COUNTBLANK(J8:J57))</f>
        <v/>
      </c>
      <c r="K58" s="24">
        <f>IF(COUNTBLANK(K6)," ",COUNTBLANK(K8:K57))</f>
        <v/>
      </c>
      <c r="L58" s="24">
        <f>IF(COUNTBLANK(L6)," ",COUNTBLANK(L8:L57))</f>
        <v/>
      </c>
      <c r="M58" s="24">
        <f>IF(COUNTBLANK(M6)," ",COUNTBLANK(M8:M57))</f>
        <v/>
      </c>
      <c r="N58" s="29">
        <f>IF(COUNTBLANK(N6)," ",COUNTBLANK(N8:N57))</f>
        <v/>
      </c>
      <c r="O58" s="28">
        <f>IF(COUNTBLANK(O6)," ",COUNTBLANK(O8:O57))</f>
        <v/>
      </c>
      <c r="P58" s="24">
        <f>IF(COUNTBLANK(P6)," ",COUNTBLANK(P8:P57))</f>
        <v/>
      </c>
      <c r="Q58" s="24">
        <f>IF(COUNTBLANK(Q6)," ",COUNTBLANK(Q8:Q57))</f>
        <v/>
      </c>
      <c r="R58" s="24">
        <f>IF(COUNTBLANK(R6)," ",COUNTBLANK(R8:R57))</f>
        <v/>
      </c>
      <c r="S58" s="26">
        <f>IF(COUNTBLANK(S6)," ",COUNTBLANK(S8:S57))</f>
        <v/>
      </c>
      <c r="T58" s="27">
        <f>IF(COUNTBLANK(T6)," ",COUNTBLANK(T8:T57))</f>
        <v/>
      </c>
      <c r="U58" s="24">
        <f>IF(COUNTBLANK(U6)," ",COUNTBLANK(U8:U57))</f>
        <v/>
      </c>
      <c r="V58" s="24">
        <f>IF(COUNTBLANK(V6)," ",COUNTBLANK(V8:V57))</f>
        <v/>
      </c>
      <c r="W58" s="24">
        <f>IF(COUNTBLANK(W6)," ",COUNTBLANK(W8:W57))</f>
        <v/>
      </c>
      <c r="X58" s="29">
        <f>IF(COUNTBLANK(X6)," ",COUNTBLANK(X8:X57))</f>
        <v/>
      </c>
      <c r="Y58" s="28">
        <f>IF(COUNTBLANK(Y6)," ",COUNTBLANK(Y8:Y57))</f>
        <v/>
      </c>
      <c r="Z58" s="24">
        <f>IF(COUNTBLANK(Z6)," ",COUNTBLANK(Z8:Z57))</f>
        <v/>
      </c>
      <c r="AA58" s="24">
        <f>IF(COUNTBLANK(AA6)," ",COUNTBLANK(AA8:AA57))</f>
        <v/>
      </c>
      <c r="AB58" s="24">
        <f>IF(COUNTBLANK(AB6)," ",COUNTBLANK(AB8:AB57))</f>
        <v/>
      </c>
      <c r="AC58" s="25">
        <f>IF(COUNTBLANK(AC6)," ",COUNTBLANK(AC8:AC57))</f>
        <v/>
      </c>
      <c r="AD58" s="212">
        <f>SUM(AD8:AE57)</f>
        <v/>
      </c>
      <c r="AE58" s="198" t="n"/>
      <c r="AF58" s="212">
        <f>SUM(AF8:AG57)</f>
        <v/>
      </c>
      <c r="AG58" s="198" t="n"/>
      <c r="AH58" s="207" t="inlineStr"/>
      <c r="AI58" s="213" t="n"/>
      <c r="AJ58" s="213" t="n"/>
      <c r="AK58" s="213" t="n"/>
      <c r="AL58" s="208" t="n"/>
    </row>
    <row r="59" ht="20.1" customHeight="1" s="51">
      <c r="A59" s="3" t="n">
        <v>1</v>
      </c>
      <c r="B59" s="201" t="n"/>
      <c r="C59" s="184" t="n"/>
      <c r="D59" s="185" t="n"/>
      <c r="E59" s="9" t="inlineStr"/>
      <c r="F59" s="10" t="inlineStr"/>
      <c r="G59" s="10" t="inlineStr"/>
      <c r="H59" s="10" t="inlineStr"/>
      <c r="I59" s="14" t="inlineStr"/>
      <c r="J59" s="9" t="inlineStr"/>
      <c r="K59" s="10" t="inlineStr"/>
      <c r="L59" s="10" t="inlineStr"/>
      <c r="M59" s="10" t="inlineStr"/>
      <c r="N59" s="14" t="inlineStr"/>
      <c r="O59" s="11" t="n"/>
      <c r="P59" s="10" t="inlineStr"/>
      <c r="Q59" s="10" t="inlineStr"/>
      <c r="R59" s="11" t="n"/>
      <c r="S59" s="15" t="n"/>
      <c r="T59" s="9" t="inlineStr"/>
      <c r="U59" s="10" t="inlineStr"/>
      <c r="V59" s="10" t="inlineStr"/>
      <c r="W59" s="10" t="inlineStr"/>
      <c r="X59" s="14" t="inlineStr"/>
      <c r="Y59" s="12" t="inlineStr"/>
      <c r="Z59" s="13" t="inlineStr"/>
      <c r="AA59" s="10" t="inlineStr"/>
      <c r="AB59" s="10" t="inlineStr"/>
      <c r="AC59" s="15" t="n"/>
      <c r="AD59" s="202">
        <f>COUNTIF(E59:AC59,"x")</f>
        <v/>
      </c>
      <c r="AE59" s="203" t="n"/>
      <c r="AF59" s="204" t="inlineStr"/>
      <c r="AG59" s="205" t="n"/>
      <c r="AH59" s="206" t="inlineStr"/>
      <c r="AI59" s="184" t="n"/>
      <c r="AJ59" s="184" t="n"/>
      <c r="AK59" s="184" t="n"/>
      <c r="AL59" s="205" t="n"/>
    </row>
    <row r="60" ht="20.1" customHeight="1" s="51">
      <c r="A60" s="3" t="n">
        <v>2</v>
      </c>
      <c r="B60" s="201" t="n"/>
      <c r="C60" s="184" t="n"/>
      <c r="D60" s="185" t="n"/>
      <c r="E60" s="9" t="inlineStr"/>
      <c r="F60" s="10" t="inlineStr"/>
      <c r="G60" s="10" t="inlineStr"/>
      <c r="H60" s="10" t="inlineStr"/>
      <c r="I60" s="14" t="inlineStr"/>
      <c r="J60" s="9" t="inlineStr"/>
      <c r="K60" s="10" t="inlineStr"/>
      <c r="L60" s="10" t="inlineStr"/>
      <c r="M60" s="10" t="inlineStr"/>
      <c r="N60" s="14" t="inlineStr"/>
      <c r="O60" s="11" t="n"/>
      <c r="P60" s="10" t="inlineStr"/>
      <c r="Q60" s="10" t="inlineStr"/>
      <c r="R60" s="11" t="n"/>
      <c r="S60" s="15" t="n"/>
      <c r="T60" s="9" t="inlineStr"/>
      <c r="U60" s="10" t="inlineStr"/>
      <c r="V60" s="10" t="inlineStr"/>
      <c r="W60" s="10" t="inlineStr"/>
      <c r="X60" s="14" t="inlineStr"/>
      <c r="Y60" s="12" t="inlineStr"/>
      <c r="Z60" s="13" t="inlineStr"/>
      <c r="AA60" s="10" t="inlineStr"/>
      <c r="AB60" s="10" t="inlineStr"/>
      <c r="AC60" s="15" t="n"/>
      <c r="AD60" s="204">
        <f>COUNTIF(E60:AC60,"x")</f>
        <v/>
      </c>
      <c r="AE60" s="205" t="n"/>
      <c r="AF60" s="204" t="inlineStr"/>
      <c r="AG60" s="205" t="n"/>
      <c r="AH60" s="206" t="inlineStr"/>
      <c r="AI60" s="184" t="n"/>
      <c r="AJ60" s="184" t="n"/>
      <c r="AK60" s="184" t="n"/>
      <c r="AL60" s="205" t="n"/>
    </row>
    <row r="61" ht="20.1" customHeight="1" s="51">
      <c r="A61" s="3" t="n">
        <v>3</v>
      </c>
      <c r="B61" s="201" t="n"/>
      <c r="C61" s="184" t="n"/>
      <c r="D61" s="185" t="n"/>
      <c r="E61" s="9" t="inlineStr"/>
      <c r="F61" s="10" t="inlineStr"/>
      <c r="G61" s="10" t="inlineStr"/>
      <c r="H61" s="10" t="inlineStr"/>
      <c r="I61" s="14" t="inlineStr"/>
      <c r="J61" s="9" t="inlineStr"/>
      <c r="K61" s="10" t="inlineStr"/>
      <c r="L61" s="10" t="inlineStr"/>
      <c r="M61" s="10" t="inlineStr"/>
      <c r="N61" s="14" t="inlineStr"/>
      <c r="O61" s="11" t="n"/>
      <c r="P61" s="10" t="inlineStr"/>
      <c r="Q61" s="10" t="inlineStr"/>
      <c r="R61" s="11" t="n"/>
      <c r="S61" s="15" t="n"/>
      <c r="T61" s="9" t="inlineStr"/>
      <c r="U61" s="10" t="inlineStr"/>
      <c r="V61" s="10" t="inlineStr"/>
      <c r="W61" s="10" t="inlineStr"/>
      <c r="X61" s="14" t="inlineStr"/>
      <c r="Y61" s="12" t="inlineStr"/>
      <c r="Z61" s="13" t="inlineStr"/>
      <c r="AA61" s="10" t="inlineStr"/>
      <c r="AB61" s="10" t="inlineStr"/>
      <c r="AC61" s="15" t="n"/>
      <c r="AD61" s="204">
        <f>COUNTIF(E61:AC61,"x")</f>
        <v/>
      </c>
      <c r="AE61" s="205" t="n"/>
      <c r="AF61" s="204" t="inlineStr"/>
      <c r="AG61" s="205" t="n"/>
      <c r="AH61" s="206" t="inlineStr"/>
      <c r="AI61" s="184" t="n"/>
      <c r="AJ61" s="184" t="n"/>
      <c r="AK61" s="184" t="n"/>
      <c r="AL61" s="205" t="n"/>
    </row>
    <row r="62" ht="20.1" customHeight="1" s="51">
      <c r="A62" s="3" t="n">
        <v>4</v>
      </c>
      <c r="B62" s="201" t="n"/>
      <c r="C62" s="184" t="n"/>
      <c r="D62" s="185" t="n"/>
      <c r="E62" s="9" t="inlineStr"/>
      <c r="F62" s="10" t="inlineStr"/>
      <c r="G62" s="10" t="inlineStr"/>
      <c r="H62" s="10" t="inlineStr"/>
      <c r="I62" s="14" t="inlineStr"/>
      <c r="J62" s="9" t="inlineStr"/>
      <c r="K62" s="10" t="inlineStr"/>
      <c r="L62" s="10" t="inlineStr"/>
      <c r="M62" s="10" t="inlineStr"/>
      <c r="N62" s="14" t="inlineStr"/>
      <c r="O62" s="11" t="n"/>
      <c r="P62" s="10" t="inlineStr"/>
      <c r="Q62" s="10" t="inlineStr"/>
      <c r="R62" s="11" t="n"/>
      <c r="S62" s="15" t="n"/>
      <c r="T62" s="9" t="inlineStr"/>
      <c r="U62" s="10" t="inlineStr"/>
      <c r="V62" s="10" t="inlineStr"/>
      <c r="W62" s="10" t="inlineStr"/>
      <c r="X62" s="14" t="inlineStr"/>
      <c r="Y62" s="12" t="inlineStr"/>
      <c r="Z62" s="13" t="inlineStr"/>
      <c r="AA62" s="10" t="inlineStr"/>
      <c r="AB62" s="10" t="inlineStr"/>
      <c r="AC62" s="15" t="n"/>
      <c r="AD62" s="204">
        <f>COUNTIF(E62:AC62,"x")</f>
        <v/>
      </c>
      <c r="AE62" s="205" t="n"/>
      <c r="AF62" s="204" t="inlineStr"/>
      <c r="AG62" s="205" t="n"/>
      <c r="AH62" s="206" t="inlineStr"/>
      <c r="AI62" s="184" t="n"/>
      <c r="AJ62" s="184" t="n"/>
      <c r="AK62" s="184" t="n"/>
      <c r="AL62" s="205" t="n"/>
    </row>
    <row r="63" ht="20.1" customHeight="1" s="51">
      <c r="A63" s="3" t="n">
        <v>5</v>
      </c>
      <c r="B63" s="201" t="n"/>
      <c r="C63" s="184" t="n"/>
      <c r="D63" s="185" t="n"/>
      <c r="E63" s="9" t="inlineStr"/>
      <c r="F63" s="10" t="inlineStr"/>
      <c r="G63" s="10" t="inlineStr"/>
      <c r="H63" s="10" t="inlineStr"/>
      <c r="I63" s="14" t="inlineStr"/>
      <c r="J63" s="9" t="inlineStr"/>
      <c r="K63" s="10" t="inlineStr"/>
      <c r="L63" s="10" t="inlineStr"/>
      <c r="M63" s="10" t="inlineStr"/>
      <c r="N63" s="14" t="inlineStr"/>
      <c r="O63" s="11" t="n"/>
      <c r="P63" s="10" t="inlineStr"/>
      <c r="Q63" s="10" t="inlineStr"/>
      <c r="R63" s="11" t="n"/>
      <c r="S63" s="15" t="n"/>
      <c r="T63" s="9" t="inlineStr"/>
      <c r="U63" s="10" t="inlineStr"/>
      <c r="V63" s="10" t="inlineStr"/>
      <c r="W63" s="10" t="inlineStr"/>
      <c r="X63" s="14" t="inlineStr"/>
      <c r="Y63" s="12" t="inlineStr"/>
      <c r="Z63" s="13" t="inlineStr"/>
      <c r="AA63" s="10" t="inlineStr"/>
      <c r="AB63" s="10" t="inlineStr"/>
      <c r="AC63" s="15" t="n"/>
      <c r="AD63" s="204">
        <f>COUNTIF(E63:AC63,"x")</f>
        <v/>
      </c>
      <c r="AE63" s="205" t="n"/>
      <c r="AF63" s="204" t="inlineStr"/>
      <c r="AG63" s="205" t="n"/>
      <c r="AH63" s="206" t="inlineStr"/>
      <c r="AI63" s="184" t="n"/>
      <c r="AJ63" s="184" t="n"/>
      <c r="AK63" s="184" t="n"/>
      <c r="AL63" s="205" t="n"/>
    </row>
    <row r="64" ht="20.1" customHeight="1" s="51">
      <c r="A64" s="3" t="n">
        <v>6</v>
      </c>
      <c r="B64" s="201" t="n"/>
      <c r="C64" s="184" t="n"/>
      <c r="D64" s="185" t="n"/>
      <c r="E64" s="9" t="inlineStr"/>
      <c r="F64" s="10" t="inlineStr"/>
      <c r="G64" s="10" t="inlineStr"/>
      <c r="H64" s="10" t="inlineStr"/>
      <c r="I64" s="14" t="inlineStr"/>
      <c r="J64" s="9" t="inlineStr"/>
      <c r="K64" s="10" t="inlineStr"/>
      <c r="L64" s="10" t="inlineStr"/>
      <c r="M64" s="10" t="inlineStr"/>
      <c r="N64" s="14" t="inlineStr"/>
      <c r="O64" s="11" t="n"/>
      <c r="P64" s="10" t="inlineStr"/>
      <c r="Q64" s="10" t="inlineStr"/>
      <c r="R64" s="11" t="n"/>
      <c r="S64" s="15" t="n"/>
      <c r="T64" s="9" t="inlineStr"/>
      <c r="U64" s="10" t="inlineStr"/>
      <c r="V64" s="10" t="inlineStr"/>
      <c r="W64" s="10" t="inlineStr"/>
      <c r="X64" s="14" t="inlineStr"/>
      <c r="Y64" s="12" t="inlineStr"/>
      <c r="Z64" s="13" t="inlineStr"/>
      <c r="AA64" s="10" t="inlineStr"/>
      <c r="AB64" s="10" t="inlineStr"/>
      <c r="AC64" s="15" t="n"/>
      <c r="AD64" s="204">
        <f>COUNTIF(E64:AC64,"x")</f>
        <v/>
      </c>
      <c r="AE64" s="205" t="n"/>
      <c r="AF64" s="204" t="inlineStr"/>
      <c r="AG64" s="205" t="n"/>
      <c r="AH64" s="206" t="inlineStr"/>
      <c r="AI64" s="184" t="n"/>
      <c r="AJ64" s="184" t="n"/>
      <c r="AK64" s="184" t="n"/>
      <c r="AL64" s="205" t="n"/>
    </row>
    <row r="65" ht="20.1" customHeight="1" s="51">
      <c r="A65" s="3" t="n">
        <v>7</v>
      </c>
      <c r="B65" s="201" t="n"/>
      <c r="C65" s="184" t="n"/>
      <c r="D65" s="185" t="n"/>
      <c r="E65" s="9" t="inlineStr"/>
      <c r="F65" s="10" t="inlineStr"/>
      <c r="G65" s="10" t="inlineStr"/>
      <c r="H65" s="10" t="inlineStr"/>
      <c r="I65" s="14" t="inlineStr"/>
      <c r="J65" s="9" t="inlineStr"/>
      <c r="K65" s="10" t="inlineStr"/>
      <c r="L65" s="10" t="inlineStr"/>
      <c r="M65" s="10" t="inlineStr"/>
      <c r="N65" s="14" t="inlineStr"/>
      <c r="O65" s="11" t="n"/>
      <c r="P65" s="10" t="inlineStr"/>
      <c r="Q65" s="10" t="inlineStr"/>
      <c r="R65" s="11" t="n"/>
      <c r="S65" s="15" t="n"/>
      <c r="T65" s="9" t="inlineStr"/>
      <c r="U65" s="10" t="inlineStr"/>
      <c r="V65" s="10" t="inlineStr"/>
      <c r="W65" s="10" t="inlineStr"/>
      <c r="X65" s="14" t="inlineStr"/>
      <c r="Y65" s="12" t="inlineStr"/>
      <c r="Z65" s="13" t="inlineStr"/>
      <c r="AA65" s="10" t="inlineStr"/>
      <c r="AB65" s="10" t="inlineStr"/>
      <c r="AC65" s="15" t="n"/>
      <c r="AD65" s="204">
        <f>COUNTIF(E65:AC65,"x")</f>
        <v/>
      </c>
      <c r="AE65" s="205" t="n"/>
      <c r="AF65" s="204" t="inlineStr"/>
      <c r="AG65" s="205" t="n"/>
      <c r="AH65" s="206" t="inlineStr"/>
      <c r="AI65" s="184" t="n"/>
      <c r="AJ65" s="184" t="n"/>
      <c r="AK65" s="184" t="n"/>
      <c r="AL65" s="205" t="n"/>
    </row>
    <row r="66" ht="20.1" customHeight="1" s="51">
      <c r="A66" s="3" t="n">
        <v>8</v>
      </c>
      <c r="B66" s="201" t="n"/>
      <c r="C66" s="184" t="n"/>
      <c r="D66" s="185" t="n"/>
      <c r="E66" s="9" t="inlineStr"/>
      <c r="F66" s="10" t="inlineStr"/>
      <c r="G66" s="10" t="inlineStr"/>
      <c r="H66" s="10" t="inlineStr"/>
      <c r="I66" s="14" t="inlineStr"/>
      <c r="J66" s="9" t="inlineStr"/>
      <c r="K66" s="10" t="inlineStr"/>
      <c r="L66" s="10" t="inlineStr"/>
      <c r="M66" s="10" t="inlineStr"/>
      <c r="N66" s="14" t="inlineStr"/>
      <c r="O66" s="11" t="n"/>
      <c r="P66" s="10" t="inlineStr"/>
      <c r="Q66" s="10" t="inlineStr"/>
      <c r="R66" s="11" t="n"/>
      <c r="S66" s="15" t="n"/>
      <c r="T66" s="9" t="inlineStr"/>
      <c r="U66" s="10" t="inlineStr"/>
      <c r="V66" s="10" t="inlineStr"/>
      <c r="W66" s="10" t="inlineStr"/>
      <c r="X66" s="14" t="inlineStr"/>
      <c r="Y66" s="12" t="inlineStr"/>
      <c r="Z66" s="13" t="inlineStr"/>
      <c r="AA66" s="10" t="inlineStr"/>
      <c r="AB66" s="10" t="inlineStr"/>
      <c r="AC66" s="15" t="n"/>
      <c r="AD66" s="204">
        <f>COUNTIF(E66:AC66,"x")</f>
        <v/>
      </c>
      <c r="AE66" s="205" t="n"/>
      <c r="AF66" s="204" t="inlineStr"/>
      <c r="AG66" s="205" t="n"/>
      <c r="AH66" s="206" t="inlineStr"/>
      <c r="AI66" s="184" t="n"/>
      <c r="AJ66" s="184" t="n"/>
      <c r="AK66" s="184" t="n"/>
      <c r="AL66" s="205" t="n"/>
    </row>
    <row r="67" ht="20.1" customHeight="1" s="51">
      <c r="A67" s="3" t="n">
        <v>9</v>
      </c>
      <c r="B67" s="201" t="n"/>
      <c r="C67" s="184" t="n"/>
      <c r="D67" s="185" t="n"/>
      <c r="E67" s="9" t="inlineStr"/>
      <c r="F67" s="10" t="inlineStr"/>
      <c r="G67" s="10" t="inlineStr"/>
      <c r="H67" s="10" t="inlineStr"/>
      <c r="I67" s="14" t="inlineStr"/>
      <c r="J67" s="9" t="inlineStr"/>
      <c r="K67" s="10" t="inlineStr"/>
      <c r="L67" s="10" t="inlineStr"/>
      <c r="M67" s="10" t="inlineStr"/>
      <c r="N67" s="14" t="inlineStr"/>
      <c r="O67" s="11" t="n"/>
      <c r="P67" s="10" t="inlineStr"/>
      <c r="Q67" s="10" t="inlineStr"/>
      <c r="R67" s="11" t="n"/>
      <c r="S67" s="15" t="n"/>
      <c r="T67" s="9" t="inlineStr"/>
      <c r="U67" s="10" t="inlineStr"/>
      <c r="V67" s="10" t="inlineStr"/>
      <c r="W67" s="10" t="inlineStr"/>
      <c r="X67" s="14" t="inlineStr"/>
      <c r="Y67" s="12" t="inlineStr"/>
      <c r="Z67" s="13" t="inlineStr"/>
      <c r="AA67" s="10" t="inlineStr"/>
      <c r="AB67" s="10" t="inlineStr"/>
      <c r="AC67" s="15" t="n"/>
      <c r="AD67" s="204">
        <f>COUNTIF(E67:AC67,"x")</f>
        <v/>
      </c>
      <c r="AE67" s="205" t="n"/>
      <c r="AF67" s="204" t="inlineStr"/>
      <c r="AG67" s="205" t="n"/>
      <c r="AH67" s="206" t="inlineStr"/>
      <c r="AI67" s="184" t="n"/>
      <c r="AJ67" s="184" t="n"/>
      <c r="AK67" s="184" t="n"/>
      <c r="AL67" s="205" t="n"/>
    </row>
    <row r="68" ht="20.1" customHeight="1" s="51">
      <c r="A68" s="3" t="n">
        <v>10</v>
      </c>
      <c r="B68" s="201" t="n"/>
      <c r="C68" s="184" t="n"/>
      <c r="D68" s="185" t="n"/>
      <c r="E68" s="9" t="inlineStr"/>
      <c r="F68" s="10" t="inlineStr"/>
      <c r="G68" s="10" t="inlineStr"/>
      <c r="H68" s="10" t="inlineStr"/>
      <c r="I68" s="14" t="inlineStr"/>
      <c r="J68" s="9" t="inlineStr"/>
      <c r="K68" s="10" t="inlineStr"/>
      <c r="L68" s="10" t="inlineStr"/>
      <c r="M68" s="10" t="inlineStr"/>
      <c r="N68" s="14" t="inlineStr"/>
      <c r="O68" s="11" t="n"/>
      <c r="P68" s="10" t="inlineStr"/>
      <c r="Q68" s="10" t="inlineStr"/>
      <c r="R68" s="11" t="n"/>
      <c r="S68" s="15" t="n"/>
      <c r="T68" s="9" t="inlineStr"/>
      <c r="U68" s="10" t="inlineStr"/>
      <c r="V68" s="10" t="inlineStr"/>
      <c r="W68" s="10" t="inlineStr"/>
      <c r="X68" s="14" t="inlineStr"/>
      <c r="Y68" s="12" t="inlineStr"/>
      <c r="Z68" s="13" t="inlineStr"/>
      <c r="AA68" s="10" t="inlineStr"/>
      <c r="AB68" s="10" t="inlineStr"/>
      <c r="AC68" s="15" t="n"/>
      <c r="AD68" s="204">
        <f>COUNTIF(E68:AC68,"x")</f>
        <v/>
      </c>
      <c r="AE68" s="205" t="n"/>
      <c r="AF68" s="204" t="inlineStr"/>
      <c r="AG68" s="205" t="n"/>
      <c r="AH68" s="206" t="inlineStr"/>
      <c r="AI68" s="184" t="n"/>
      <c r="AJ68" s="184" t="n"/>
      <c r="AK68" s="184" t="n"/>
      <c r="AL68" s="205" t="n"/>
    </row>
    <row r="69" ht="20.1" customHeight="1" s="51">
      <c r="A69" s="3" t="n">
        <v>11</v>
      </c>
      <c r="B69" s="201" t="n"/>
      <c r="C69" s="184" t="n"/>
      <c r="D69" s="185" t="n"/>
      <c r="E69" s="9" t="inlineStr"/>
      <c r="F69" s="10" t="inlineStr"/>
      <c r="G69" s="10" t="inlineStr"/>
      <c r="H69" s="10" t="inlineStr"/>
      <c r="I69" s="14" t="inlineStr"/>
      <c r="J69" s="9" t="inlineStr"/>
      <c r="K69" s="10" t="inlineStr"/>
      <c r="L69" s="10" t="inlineStr"/>
      <c r="M69" s="10" t="inlineStr"/>
      <c r="N69" s="14" t="inlineStr"/>
      <c r="O69" s="11" t="n"/>
      <c r="P69" s="10" t="inlineStr"/>
      <c r="Q69" s="10" t="inlineStr"/>
      <c r="R69" s="11" t="n"/>
      <c r="S69" s="15" t="n"/>
      <c r="T69" s="9" t="inlineStr"/>
      <c r="U69" s="10" t="inlineStr"/>
      <c r="V69" s="10" t="inlineStr"/>
      <c r="W69" s="10" t="inlineStr"/>
      <c r="X69" s="14" t="inlineStr"/>
      <c r="Y69" s="12" t="inlineStr"/>
      <c r="Z69" s="13" t="inlineStr"/>
      <c r="AA69" s="10" t="inlineStr"/>
      <c r="AB69" s="10" t="inlineStr"/>
      <c r="AC69" s="15" t="n"/>
      <c r="AD69" s="204">
        <f>COUNTIF(E69:AC69,"x")</f>
        <v/>
      </c>
      <c r="AE69" s="205" t="n"/>
      <c r="AF69" s="204" t="inlineStr"/>
      <c r="AG69" s="205" t="n"/>
      <c r="AH69" s="206" t="inlineStr"/>
      <c r="AI69" s="184" t="n"/>
      <c r="AJ69" s="184" t="n"/>
      <c r="AK69" s="184" t="n"/>
      <c r="AL69" s="205" t="n"/>
    </row>
    <row r="70" ht="20.1" customHeight="1" s="51">
      <c r="A70" s="3" t="n">
        <v>12</v>
      </c>
      <c r="B70" s="201" t="n"/>
      <c r="C70" s="184" t="n"/>
      <c r="D70" s="185" t="n"/>
      <c r="E70" s="9" t="inlineStr"/>
      <c r="F70" s="10" t="inlineStr"/>
      <c r="G70" s="10" t="inlineStr"/>
      <c r="H70" s="10" t="inlineStr"/>
      <c r="I70" s="14" t="inlineStr"/>
      <c r="J70" s="9" t="inlineStr"/>
      <c r="K70" s="10" t="inlineStr"/>
      <c r="L70" s="10" t="inlineStr"/>
      <c r="M70" s="10" t="inlineStr"/>
      <c r="N70" s="14" t="inlineStr"/>
      <c r="O70" s="11" t="n"/>
      <c r="P70" s="10" t="inlineStr"/>
      <c r="Q70" s="10" t="inlineStr"/>
      <c r="R70" s="11" t="n"/>
      <c r="S70" s="15" t="n"/>
      <c r="T70" s="9" t="inlineStr"/>
      <c r="U70" s="10" t="inlineStr"/>
      <c r="V70" s="10" t="inlineStr"/>
      <c r="W70" s="10" t="inlineStr"/>
      <c r="X70" s="14" t="inlineStr"/>
      <c r="Y70" s="12" t="inlineStr"/>
      <c r="Z70" s="13" t="inlineStr"/>
      <c r="AA70" s="10" t="inlineStr"/>
      <c r="AB70" s="10" t="inlineStr"/>
      <c r="AC70" s="15" t="n"/>
      <c r="AD70" s="204">
        <f>COUNTIF(E70:AC70,"x")</f>
        <v/>
      </c>
      <c r="AE70" s="205" t="n"/>
      <c r="AF70" s="204" t="inlineStr"/>
      <c r="AG70" s="205" t="n"/>
      <c r="AH70" s="206" t="inlineStr"/>
      <c r="AI70" s="184" t="n"/>
      <c r="AJ70" s="184" t="n"/>
      <c r="AK70" s="184" t="n"/>
      <c r="AL70" s="205" t="n"/>
    </row>
    <row r="71" ht="20.1" customHeight="1" s="51">
      <c r="A71" s="3" t="n">
        <v>13</v>
      </c>
      <c r="B71" s="201" t="n"/>
      <c r="C71" s="184" t="n"/>
      <c r="D71" s="185" t="n"/>
      <c r="E71" s="9" t="inlineStr"/>
      <c r="F71" s="10" t="inlineStr"/>
      <c r="G71" s="10" t="inlineStr"/>
      <c r="H71" s="10" t="inlineStr"/>
      <c r="I71" s="14" t="inlineStr"/>
      <c r="J71" s="9" t="inlineStr"/>
      <c r="K71" s="10" t="inlineStr"/>
      <c r="L71" s="10" t="inlineStr"/>
      <c r="M71" s="10" t="inlineStr"/>
      <c r="N71" s="14" t="inlineStr"/>
      <c r="O71" s="11" t="n"/>
      <c r="P71" s="10" t="inlineStr"/>
      <c r="Q71" s="10" t="inlineStr"/>
      <c r="R71" s="11" t="n"/>
      <c r="S71" s="15" t="n"/>
      <c r="T71" s="9" t="inlineStr"/>
      <c r="U71" s="10" t="inlineStr"/>
      <c r="V71" s="10" t="inlineStr"/>
      <c r="W71" s="10" t="inlineStr"/>
      <c r="X71" s="14" t="inlineStr"/>
      <c r="Y71" s="12" t="inlineStr"/>
      <c r="Z71" s="13" t="inlineStr"/>
      <c r="AA71" s="10" t="inlineStr"/>
      <c r="AB71" s="10" t="inlineStr"/>
      <c r="AC71" s="15" t="n"/>
      <c r="AD71" s="204">
        <f>COUNTIF(E71:AC71,"x")</f>
        <v/>
      </c>
      <c r="AE71" s="205" t="n"/>
      <c r="AF71" s="204" t="inlineStr"/>
      <c r="AG71" s="205" t="n"/>
      <c r="AH71" s="206" t="inlineStr"/>
      <c r="AI71" s="184" t="n"/>
      <c r="AJ71" s="184" t="n"/>
      <c r="AK71" s="184" t="n"/>
      <c r="AL71" s="205" t="n"/>
    </row>
    <row r="72" ht="20.1" customHeight="1" s="51">
      <c r="A72" s="3" t="n">
        <v>14</v>
      </c>
      <c r="B72" s="201" t="n"/>
      <c r="C72" s="184" t="n"/>
      <c r="D72" s="185" t="n"/>
      <c r="E72" s="9" t="inlineStr"/>
      <c r="F72" s="10" t="inlineStr"/>
      <c r="G72" s="10" t="inlineStr"/>
      <c r="H72" s="10" t="inlineStr"/>
      <c r="I72" s="14" t="inlineStr"/>
      <c r="J72" s="9" t="inlineStr"/>
      <c r="K72" s="10" t="inlineStr"/>
      <c r="L72" s="10" t="inlineStr"/>
      <c r="M72" s="10" t="inlineStr"/>
      <c r="N72" s="14" t="inlineStr"/>
      <c r="O72" s="11" t="n"/>
      <c r="P72" s="10" t="inlineStr"/>
      <c r="Q72" s="10" t="inlineStr"/>
      <c r="R72" s="11" t="n"/>
      <c r="S72" s="15" t="n"/>
      <c r="T72" s="9" t="inlineStr"/>
      <c r="U72" s="10" t="inlineStr"/>
      <c r="V72" s="10" t="inlineStr"/>
      <c r="W72" s="10" t="inlineStr"/>
      <c r="X72" s="14" t="inlineStr"/>
      <c r="Y72" s="12" t="inlineStr"/>
      <c r="Z72" s="13" t="inlineStr"/>
      <c r="AA72" s="10" t="inlineStr"/>
      <c r="AB72" s="10" t="inlineStr"/>
      <c r="AC72" s="15" t="n"/>
      <c r="AD72" s="204">
        <f>COUNTIF(E72:AC72,"x")</f>
        <v/>
      </c>
      <c r="AE72" s="205" t="n"/>
      <c r="AF72" s="204" t="inlineStr"/>
      <c r="AG72" s="205" t="n"/>
      <c r="AH72" s="206" t="inlineStr"/>
      <c r="AI72" s="184" t="n"/>
      <c r="AJ72" s="184" t="n"/>
      <c r="AK72" s="184" t="n"/>
      <c r="AL72" s="205" t="n"/>
    </row>
    <row r="73" ht="20.1" customHeight="1" s="51">
      <c r="A73" s="3" t="n">
        <v>15</v>
      </c>
      <c r="B73" s="201" t="n"/>
      <c r="C73" s="184" t="n"/>
      <c r="D73" s="185" t="n"/>
      <c r="E73" s="9" t="inlineStr"/>
      <c r="F73" s="10" t="inlineStr"/>
      <c r="G73" s="10" t="inlineStr"/>
      <c r="H73" s="10" t="inlineStr"/>
      <c r="I73" s="14" t="inlineStr"/>
      <c r="J73" s="9" t="inlineStr"/>
      <c r="K73" s="10" t="inlineStr"/>
      <c r="L73" s="10" t="inlineStr"/>
      <c r="M73" s="10" t="inlineStr"/>
      <c r="N73" s="14" t="inlineStr"/>
      <c r="O73" s="11" t="n"/>
      <c r="P73" s="10" t="inlineStr"/>
      <c r="Q73" s="10" t="inlineStr"/>
      <c r="R73" s="11" t="n"/>
      <c r="S73" s="15" t="n"/>
      <c r="T73" s="9" t="inlineStr"/>
      <c r="U73" s="10" t="inlineStr"/>
      <c r="V73" s="10" t="inlineStr"/>
      <c r="W73" s="10" t="inlineStr"/>
      <c r="X73" s="14" t="inlineStr"/>
      <c r="Y73" s="12" t="inlineStr"/>
      <c r="Z73" s="13" t="inlineStr"/>
      <c r="AA73" s="10" t="inlineStr"/>
      <c r="AB73" s="10" t="inlineStr"/>
      <c r="AC73" s="15" t="n"/>
      <c r="AD73" s="204">
        <f>COUNTIF(E73:AC73,"x")</f>
        <v/>
      </c>
      <c r="AE73" s="205" t="n"/>
      <c r="AF73" s="204" t="inlineStr"/>
      <c r="AG73" s="205" t="n"/>
      <c r="AH73" s="206" t="inlineStr"/>
      <c r="AI73" s="184" t="n"/>
      <c r="AJ73" s="184" t="n"/>
      <c r="AK73" s="184" t="n"/>
      <c r="AL73" s="205" t="n"/>
    </row>
    <row r="74" ht="20.1" customHeight="1" s="51">
      <c r="A74" s="3" t="n">
        <v>16</v>
      </c>
      <c r="B74" s="201" t="n"/>
      <c r="C74" s="184" t="n"/>
      <c r="D74" s="185" t="n"/>
      <c r="E74" s="9" t="inlineStr"/>
      <c r="F74" s="10" t="inlineStr"/>
      <c r="G74" s="10" t="inlineStr"/>
      <c r="H74" s="10" t="inlineStr"/>
      <c r="I74" s="14" t="inlineStr"/>
      <c r="J74" s="9" t="inlineStr"/>
      <c r="K74" s="10" t="inlineStr"/>
      <c r="L74" s="10" t="inlineStr"/>
      <c r="M74" s="10" t="inlineStr"/>
      <c r="N74" s="14" t="inlineStr"/>
      <c r="O74" s="11" t="n"/>
      <c r="P74" s="10" t="inlineStr"/>
      <c r="Q74" s="10" t="inlineStr"/>
      <c r="R74" s="11" t="n"/>
      <c r="S74" s="15" t="n"/>
      <c r="T74" s="9" t="inlineStr"/>
      <c r="U74" s="10" t="inlineStr"/>
      <c r="V74" s="10" t="inlineStr"/>
      <c r="W74" s="10" t="inlineStr"/>
      <c r="X74" s="14" t="inlineStr"/>
      <c r="Y74" s="12" t="inlineStr"/>
      <c r="Z74" s="13" t="inlineStr"/>
      <c r="AA74" s="10" t="inlineStr"/>
      <c r="AB74" s="10" t="inlineStr"/>
      <c r="AC74" s="15" t="n"/>
      <c r="AD74" s="204">
        <f>COUNTIF(E74:AC74,"x")</f>
        <v/>
      </c>
      <c r="AE74" s="205" t="n"/>
      <c r="AF74" s="204" t="inlineStr"/>
      <c r="AG74" s="205" t="n"/>
      <c r="AH74" s="206" t="inlineStr"/>
      <c r="AI74" s="184" t="n"/>
      <c r="AJ74" s="184" t="n"/>
      <c r="AK74" s="184" t="n"/>
      <c r="AL74" s="205" t="n"/>
    </row>
    <row r="75" ht="20.1" customHeight="1" s="51">
      <c r="A75" s="3" t="n">
        <v>17</v>
      </c>
      <c r="B75" s="201" t="n"/>
      <c r="C75" s="184" t="n"/>
      <c r="D75" s="185" t="n"/>
      <c r="E75" s="9" t="inlineStr"/>
      <c r="F75" s="10" t="inlineStr"/>
      <c r="G75" s="10" t="inlineStr"/>
      <c r="H75" s="10" t="inlineStr"/>
      <c r="I75" s="14" t="inlineStr"/>
      <c r="J75" s="9" t="inlineStr"/>
      <c r="K75" s="10" t="inlineStr"/>
      <c r="L75" s="10" t="inlineStr"/>
      <c r="M75" s="10" t="inlineStr"/>
      <c r="N75" s="14" t="inlineStr"/>
      <c r="O75" s="11" t="n"/>
      <c r="P75" s="10" t="inlineStr"/>
      <c r="Q75" s="10" t="inlineStr"/>
      <c r="R75" s="11" t="n"/>
      <c r="S75" s="15" t="n"/>
      <c r="T75" s="9" t="inlineStr"/>
      <c r="U75" s="10" t="inlineStr"/>
      <c r="V75" s="10" t="inlineStr"/>
      <c r="W75" s="10" t="inlineStr"/>
      <c r="X75" s="14" t="inlineStr"/>
      <c r="Y75" s="12" t="inlineStr"/>
      <c r="Z75" s="13" t="inlineStr"/>
      <c r="AA75" s="10" t="inlineStr"/>
      <c r="AB75" s="10" t="inlineStr"/>
      <c r="AC75" s="15" t="n"/>
      <c r="AD75" s="204">
        <f>COUNTIF(E75:AC75,"x")</f>
        <v/>
      </c>
      <c r="AE75" s="205" t="n"/>
      <c r="AF75" s="204" t="inlineStr"/>
      <c r="AG75" s="205" t="n"/>
      <c r="AH75" s="206" t="inlineStr"/>
      <c r="AI75" s="184" t="n"/>
      <c r="AJ75" s="184" t="n"/>
      <c r="AK75" s="184" t="n"/>
      <c r="AL75" s="205" t="n"/>
    </row>
    <row r="76" ht="20.1" customHeight="1" s="51">
      <c r="A76" s="3" t="n">
        <v>18</v>
      </c>
      <c r="B76" s="201" t="n"/>
      <c r="C76" s="184" t="n"/>
      <c r="D76" s="185" t="n"/>
      <c r="E76" s="9" t="inlineStr"/>
      <c r="F76" s="10" t="inlineStr"/>
      <c r="G76" s="10" t="inlineStr"/>
      <c r="H76" s="10" t="inlineStr"/>
      <c r="I76" s="14" t="inlineStr"/>
      <c r="J76" s="9" t="inlineStr"/>
      <c r="K76" s="10" t="inlineStr"/>
      <c r="L76" s="10" t="inlineStr"/>
      <c r="M76" s="10" t="inlineStr"/>
      <c r="N76" s="14" t="inlineStr"/>
      <c r="O76" s="11" t="n"/>
      <c r="P76" s="10" t="inlineStr"/>
      <c r="Q76" s="10" t="inlineStr"/>
      <c r="R76" s="11" t="n"/>
      <c r="S76" s="15" t="n"/>
      <c r="T76" s="9" t="inlineStr"/>
      <c r="U76" s="10" t="inlineStr"/>
      <c r="V76" s="10" t="inlineStr"/>
      <c r="W76" s="10" t="inlineStr"/>
      <c r="X76" s="14" t="inlineStr"/>
      <c r="Y76" s="12" t="inlineStr"/>
      <c r="Z76" s="13" t="inlineStr"/>
      <c r="AA76" s="10" t="inlineStr"/>
      <c r="AB76" s="10" t="inlineStr"/>
      <c r="AC76" s="15" t="n"/>
      <c r="AD76" s="204">
        <f>COUNTIF(E76:AC76,"x")</f>
        <v/>
      </c>
      <c r="AE76" s="205" t="n"/>
      <c r="AF76" s="204" t="inlineStr"/>
      <c r="AG76" s="205" t="n"/>
      <c r="AH76" s="206" t="inlineStr"/>
      <c r="AI76" s="184" t="n"/>
      <c r="AJ76" s="184" t="n"/>
      <c r="AK76" s="184" t="n"/>
      <c r="AL76" s="205" t="n"/>
    </row>
    <row r="77" ht="20.1" customHeight="1" s="51">
      <c r="A77" s="3" t="n">
        <v>19</v>
      </c>
      <c r="B77" s="201" t="n"/>
      <c r="C77" s="184" t="n"/>
      <c r="D77" s="185" t="n"/>
      <c r="E77" s="9" t="inlineStr"/>
      <c r="F77" s="10" t="inlineStr"/>
      <c r="G77" s="10" t="inlineStr"/>
      <c r="H77" s="10" t="inlineStr"/>
      <c r="I77" s="14" t="inlineStr"/>
      <c r="J77" s="9" t="inlineStr"/>
      <c r="K77" s="10" t="inlineStr"/>
      <c r="L77" s="10" t="inlineStr"/>
      <c r="M77" s="10" t="inlineStr"/>
      <c r="N77" s="14" t="inlineStr"/>
      <c r="O77" s="11" t="n"/>
      <c r="P77" s="10" t="inlineStr"/>
      <c r="Q77" s="10" t="inlineStr"/>
      <c r="R77" s="11" t="n"/>
      <c r="S77" s="15" t="n"/>
      <c r="T77" s="9" t="inlineStr"/>
      <c r="U77" s="10" t="inlineStr"/>
      <c r="V77" s="10" t="inlineStr"/>
      <c r="W77" s="10" t="inlineStr"/>
      <c r="X77" s="14" t="inlineStr"/>
      <c r="Y77" s="12" t="inlineStr"/>
      <c r="Z77" s="13" t="inlineStr"/>
      <c r="AA77" s="10" t="inlineStr"/>
      <c r="AB77" s="10" t="inlineStr"/>
      <c r="AC77" s="15" t="n"/>
      <c r="AD77" s="204">
        <f>COUNTIF(E77:AC77,"x")</f>
        <v/>
      </c>
      <c r="AE77" s="205" t="n"/>
      <c r="AF77" s="204" t="inlineStr"/>
      <c r="AG77" s="205" t="n"/>
      <c r="AH77" s="206" t="inlineStr"/>
      <c r="AI77" s="184" t="n"/>
      <c r="AJ77" s="184" t="n"/>
      <c r="AK77" s="184" t="n"/>
      <c r="AL77" s="205" t="n"/>
    </row>
    <row r="78" ht="20.1" customHeight="1" s="51">
      <c r="A78" s="3" t="n">
        <v>20</v>
      </c>
      <c r="B78" s="201" t="n"/>
      <c r="C78" s="184" t="n"/>
      <c r="D78" s="185" t="n"/>
      <c r="E78" s="9" t="inlineStr"/>
      <c r="F78" s="10" t="inlineStr"/>
      <c r="G78" s="10" t="inlineStr"/>
      <c r="H78" s="10" t="inlineStr"/>
      <c r="I78" s="14" t="inlineStr"/>
      <c r="J78" s="9" t="inlineStr"/>
      <c r="K78" s="10" t="inlineStr"/>
      <c r="L78" s="10" t="inlineStr"/>
      <c r="M78" s="10" t="inlineStr"/>
      <c r="N78" s="14" t="inlineStr"/>
      <c r="O78" s="11" t="n"/>
      <c r="P78" s="10" t="inlineStr"/>
      <c r="Q78" s="10" t="inlineStr"/>
      <c r="R78" s="11" t="n"/>
      <c r="S78" s="15" t="n"/>
      <c r="T78" s="9" t="inlineStr"/>
      <c r="U78" s="10" t="inlineStr"/>
      <c r="V78" s="10" t="inlineStr"/>
      <c r="W78" s="10" t="inlineStr"/>
      <c r="X78" s="14" t="inlineStr"/>
      <c r="Y78" s="12" t="inlineStr"/>
      <c r="Z78" s="13" t="inlineStr"/>
      <c r="AA78" s="10" t="inlineStr"/>
      <c r="AB78" s="10" t="inlineStr"/>
      <c r="AC78" s="15" t="n"/>
      <c r="AD78" s="204">
        <f>COUNTIF(E78:AC78,"x")</f>
        <v/>
      </c>
      <c r="AE78" s="205" t="n"/>
      <c r="AF78" s="204" t="inlineStr"/>
      <c r="AG78" s="205" t="n"/>
      <c r="AH78" s="206" t="inlineStr"/>
      <c r="AI78" s="184" t="n"/>
      <c r="AJ78" s="184" t="n"/>
      <c r="AK78" s="184" t="n"/>
      <c r="AL78" s="205" t="n"/>
    </row>
    <row r="79" ht="20.1" customHeight="1" s="51">
      <c r="A79" s="3" t="n">
        <v>21</v>
      </c>
      <c r="B79" s="201" t="n"/>
      <c r="C79" s="184" t="n"/>
      <c r="D79" s="185" t="n"/>
      <c r="E79" s="9" t="inlineStr"/>
      <c r="F79" s="10" t="inlineStr"/>
      <c r="G79" s="10" t="inlineStr"/>
      <c r="H79" s="10" t="inlineStr"/>
      <c r="I79" s="14" t="inlineStr"/>
      <c r="J79" s="9" t="inlineStr"/>
      <c r="K79" s="10" t="inlineStr"/>
      <c r="L79" s="10" t="inlineStr"/>
      <c r="M79" s="10" t="inlineStr"/>
      <c r="N79" s="14" t="inlineStr"/>
      <c r="O79" s="11" t="n"/>
      <c r="P79" s="10" t="inlineStr"/>
      <c r="Q79" s="10" t="inlineStr"/>
      <c r="R79" s="11" t="n"/>
      <c r="S79" s="15" t="n"/>
      <c r="T79" s="9" t="inlineStr"/>
      <c r="U79" s="10" t="inlineStr"/>
      <c r="V79" s="10" t="inlineStr"/>
      <c r="W79" s="10" t="inlineStr"/>
      <c r="X79" s="14" t="inlineStr"/>
      <c r="Y79" s="12" t="inlineStr"/>
      <c r="Z79" s="13" t="inlineStr"/>
      <c r="AA79" s="10" t="inlineStr"/>
      <c r="AB79" s="10" t="inlineStr"/>
      <c r="AC79" s="15" t="n"/>
      <c r="AD79" s="204">
        <f>COUNTIF(E79:AC79,"x")</f>
        <v/>
      </c>
      <c r="AE79" s="205" t="n"/>
      <c r="AF79" s="204" t="inlineStr"/>
      <c r="AG79" s="205" t="n"/>
      <c r="AH79" s="206" t="inlineStr"/>
      <c r="AI79" s="184" t="n"/>
      <c r="AJ79" s="184" t="n"/>
      <c r="AK79" s="184" t="n"/>
      <c r="AL79" s="205" t="n"/>
    </row>
    <row r="80" ht="20.1" customHeight="1" s="51">
      <c r="A80" s="3" t="n">
        <v>22</v>
      </c>
      <c r="B80" s="201" t="n"/>
      <c r="C80" s="184" t="n"/>
      <c r="D80" s="185" t="n"/>
      <c r="E80" s="9" t="inlineStr"/>
      <c r="F80" s="10" t="inlineStr"/>
      <c r="G80" s="10" t="inlineStr"/>
      <c r="H80" s="10" t="inlineStr"/>
      <c r="I80" s="14" t="inlineStr"/>
      <c r="J80" s="9" t="inlineStr"/>
      <c r="K80" s="10" t="inlineStr"/>
      <c r="L80" s="10" t="inlineStr"/>
      <c r="M80" s="10" t="inlineStr"/>
      <c r="N80" s="14" t="inlineStr"/>
      <c r="O80" s="11" t="n"/>
      <c r="P80" s="10" t="inlineStr"/>
      <c r="Q80" s="10" t="inlineStr"/>
      <c r="R80" s="11" t="n"/>
      <c r="S80" s="15" t="n"/>
      <c r="T80" s="9" t="inlineStr"/>
      <c r="U80" s="10" t="inlineStr"/>
      <c r="V80" s="10" t="inlineStr"/>
      <c r="W80" s="10" t="inlineStr"/>
      <c r="X80" s="14" t="inlineStr"/>
      <c r="Y80" s="12" t="inlineStr"/>
      <c r="Z80" s="13" t="inlineStr"/>
      <c r="AA80" s="10" t="inlineStr"/>
      <c r="AB80" s="10" t="inlineStr"/>
      <c r="AC80" s="15" t="n"/>
      <c r="AD80" s="204">
        <f>COUNTIF(E80:AC80,"x")</f>
        <v/>
      </c>
      <c r="AE80" s="205" t="n"/>
      <c r="AF80" s="204" t="inlineStr"/>
      <c r="AG80" s="205" t="n"/>
      <c r="AH80" s="206" t="inlineStr"/>
      <c r="AI80" s="184" t="n"/>
      <c r="AJ80" s="184" t="n"/>
      <c r="AK80" s="184" t="n"/>
      <c r="AL80" s="205" t="n"/>
    </row>
    <row r="81" ht="20.1" customHeight="1" s="51">
      <c r="A81" s="3" t="n">
        <v>23</v>
      </c>
      <c r="B81" s="201" t="n"/>
      <c r="C81" s="184" t="n"/>
      <c r="D81" s="185" t="n"/>
      <c r="E81" s="9" t="inlineStr"/>
      <c r="F81" s="10" t="inlineStr"/>
      <c r="G81" s="10" t="inlineStr"/>
      <c r="H81" s="10" t="inlineStr"/>
      <c r="I81" s="14" t="inlineStr"/>
      <c r="J81" s="9" t="inlineStr"/>
      <c r="K81" s="10" t="inlineStr"/>
      <c r="L81" s="10" t="inlineStr"/>
      <c r="M81" s="10" t="inlineStr"/>
      <c r="N81" s="14" t="inlineStr"/>
      <c r="O81" s="11" t="n"/>
      <c r="P81" s="10" t="inlineStr"/>
      <c r="Q81" s="10" t="inlineStr"/>
      <c r="R81" s="11" t="n"/>
      <c r="S81" s="15" t="n"/>
      <c r="T81" s="9" t="inlineStr"/>
      <c r="U81" s="10" t="inlineStr"/>
      <c r="V81" s="10" t="inlineStr"/>
      <c r="W81" s="10" t="inlineStr"/>
      <c r="X81" s="14" t="inlineStr"/>
      <c r="Y81" s="12" t="inlineStr"/>
      <c r="Z81" s="13" t="inlineStr"/>
      <c r="AA81" s="10" t="inlineStr"/>
      <c r="AB81" s="10" t="inlineStr"/>
      <c r="AC81" s="15" t="n"/>
      <c r="AD81" s="204">
        <f>COUNTIF(E81:AC81,"x")</f>
        <v/>
      </c>
      <c r="AE81" s="205" t="n"/>
      <c r="AF81" s="204" t="inlineStr"/>
      <c r="AG81" s="205" t="n"/>
      <c r="AH81" s="206" t="inlineStr"/>
      <c r="AI81" s="184" t="n"/>
      <c r="AJ81" s="184" t="n"/>
      <c r="AK81" s="184" t="n"/>
      <c r="AL81" s="205" t="n"/>
    </row>
    <row r="82" ht="20.1" customHeight="1" s="51">
      <c r="A82" s="3" t="n">
        <v>24</v>
      </c>
      <c r="B82" s="201" t="n"/>
      <c r="C82" s="184" t="n"/>
      <c r="D82" s="185" t="n"/>
      <c r="E82" s="9" t="inlineStr"/>
      <c r="F82" s="10" t="inlineStr"/>
      <c r="G82" s="10" t="inlineStr"/>
      <c r="H82" s="10" t="inlineStr"/>
      <c r="I82" s="14" t="inlineStr"/>
      <c r="J82" s="9" t="inlineStr"/>
      <c r="K82" s="10" t="inlineStr"/>
      <c r="L82" s="10" t="inlineStr"/>
      <c r="M82" s="10" t="inlineStr"/>
      <c r="N82" s="14" t="inlineStr"/>
      <c r="O82" s="11" t="n"/>
      <c r="P82" s="10" t="inlineStr"/>
      <c r="Q82" s="10" t="inlineStr"/>
      <c r="R82" s="11" t="n"/>
      <c r="S82" s="15" t="n"/>
      <c r="T82" s="9" t="inlineStr"/>
      <c r="U82" s="10" t="inlineStr"/>
      <c r="V82" s="10" t="inlineStr"/>
      <c r="W82" s="10" t="inlineStr"/>
      <c r="X82" s="14" t="inlineStr"/>
      <c r="Y82" s="12" t="inlineStr"/>
      <c r="Z82" s="13" t="inlineStr"/>
      <c r="AA82" s="10" t="inlineStr"/>
      <c r="AB82" s="10" t="inlineStr"/>
      <c r="AC82" s="15" t="n"/>
      <c r="AD82" s="204">
        <f>COUNTIF(E82:AC82,"x")</f>
        <v/>
      </c>
      <c r="AE82" s="205" t="n"/>
      <c r="AF82" s="204" t="inlineStr"/>
      <c r="AG82" s="205" t="n"/>
      <c r="AH82" s="206" t="inlineStr"/>
      <c r="AI82" s="184" t="n"/>
      <c r="AJ82" s="184" t="n"/>
      <c r="AK82" s="184" t="n"/>
      <c r="AL82" s="205" t="n"/>
    </row>
    <row r="83" ht="20.1" customHeight="1" s="51">
      <c r="A83" s="3" t="n">
        <v>25</v>
      </c>
      <c r="B83" s="201" t="n"/>
      <c r="C83" s="184" t="n"/>
      <c r="D83" s="185" t="n"/>
      <c r="E83" s="9" t="inlineStr"/>
      <c r="F83" s="10" t="inlineStr"/>
      <c r="G83" s="10" t="inlineStr"/>
      <c r="H83" s="10" t="inlineStr"/>
      <c r="I83" s="14" t="inlineStr"/>
      <c r="J83" s="9" t="inlineStr"/>
      <c r="K83" s="10" t="inlineStr"/>
      <c r="L83" s="10" t="inlineStr"/>
      <c r="M83" s="10" t="inlineStr"/>
      <c r="N83" s="14" t="inlineStr"/>
      <c r="O83" s="11" t="n"/>
      <c r="P83" s="10" t="inlineStr"/>
      <c r="Q83" s="10" t="inlineStr"/>
      <c r="R83" s="11" t="n"/>
      <c r="S83" s="15" t="n"/>
      <c r="T83" s="9" t="inlineStr"/>
      <c r="U83" s="10" t="inlineStr"/>
      <c r="V83" s="10" t="inlineStr"/>
      <c r="W83" s="10" t="inlineStr"/>
      <c r="X83" s="14" t="inlineStr"/>
      <c r="Y83" s="12" t="inlineStr"/>
      <c r="Z83" s="13" t="inlineStr"/>
      <c r="AA83" s="10" t="inlineStr"/>
      <c r="AB83" s="10" t="inlineStr"/>
      <c r="AC83" s="15" t="n"/>
      <c r="AD83" s="204">
        <f>COUNTIF(E83:AC83,"x")</f>
        <v/>
      </c>
      <c r="AE83" s="205" t="n"/>
      <c r="AF83" s="204" t="inlineStr"/>
      <c r="AG83" s="205" t="n"/>
      <c r="AH83" s="206" t="inlineStr"/>
      <c r="AI83" s="184" t="n"/>
      <c r="AJ83" s="184" t="n"/>
      <c r="AK83" s="184" t="n"/>
      <c r="AL83" s="205" t="n"/>
    </row>
    <row r="84" ht="20.1" customHeight="1" s="51">
      <c r="A84" s="3" t="n">
        <v>26</v>
      </c>
      <c r="B84" s="201" t="n"/>
      <c r="C84" s="184" t="n"/>
      <c r="D84" s="185" t="n"/>
      <c r="E84" s="9" t="inlineStr"/>
      <c r="F84" s="10" t="inlineStr"/>
      <c r="G84" s="10" t="inlineStr"/>
      <c r="H84" s="10" t="inlineStr"/>
      <c r="I84" s="14" t="inlineStr"/>
      <c r="J84" s="9" t="inlineStr"/>
      <c r="K84" s="10" t="inlineStr"/>
      <c r="L84" s="10" t="inlineStr"/>
      <c r="M84" s="10" t="inlineStr"/>
      <c r="N84" s="14" t="inlineStr"/>
      <c r="O84" s="11" t="n"/>
      <c r="P84" s="10" t="inlineStr"/>
      <c r="Q84" s="10" t="inlineStr"/>
      <c r="R84" s="11" t="n"/>
      <c r="S84" s="15" t="n"/>
      <c r="T84" s="9" t="inlineStr"/>
      <c r="U84" s="10" t="inlineStr"/>
      <c r="V84" s="10" t="inlineStr"/>
      <c r="W84" s="10" t="inlineStr"/>
      <c r="X84" s="14" t="inlineStr"/>
      <c r="Y84" s="12" t="inlineStr"/>
      <c r="Z84" s="13" t="inlineStr"/>
      <c r="AA84" s="10" t="inlineStr"/>
      <c r="AB84" s="10" t="inlineStr"/>
      <c r="AC84" s="15" t="n"/>
      <c r="AD84" s="204">
        <f>COUNTIF(E84:AC84,"x")</f>
        <v/>
      </c>
      <c r="AE84" s="205" t="n"/>
      <c r="AF84" s="204" t="inlineStr"/>
      <c r="AG84" s="205" t="n"/>
      <c r="AH84" s="206" t="inlineStr"/>
      <c r="AI84" s="184" t="n"/>
      <c r="AJ84" s="184" t="n"/>
      <c r="AK84" s="184" t="n"/>
      <c r="AL84" s="205" t="n"/>
    </row>
    <row r="85" ht="20.1" customHeight="1" s="51">
      <c r="A85" s="3" t="n">
        <v>27</v>
      </c>
      <c r="B85" s="201" t="n"/>
      <c r="C85" s="184" t="n"/>
      <c r="D85" s="185" t="n"/>
      <c r="E85" s="9" t="inlineStr"/>
      <c r="F85" s="10" t="inlineStr"/>
      <c r="G85" s="10" t="inlineStr"/>
      <c r="H85" s="10" t="inlineStr"/>
      <c r="I85" s="14" t="inlineStr"/>
      <c r="J85" s="9" t="inlineStr"/>
      <c r="K85" s="10" t="inlineStr"/>
      <c r="L85" s="10" t="inlineStr"/>
      <c r="M85" s="10" t="inlineStr"/>
      <c r="N85" s="14" t="inlineStr"/>
      <c r="O85" s="11" t="n"/>
      <c r="P85" s="10" t="inlineStr"/>
      <c r="Q85" s="10" t="inlineStr"/>
      <c r="R85" s="11" t="n"/>
      <c r="S85" s="15" t="n"/>
      <c r="T85" s="9" t="inlineStr"/>
      <c r="U85" s="10" t="inlineStr"/>
      <c r="V85" s="10" t="inlineStr"/>
      <c r="W85" s="10" t="inlineStr"/>
      <c r="X85" s="14" t="inlineStr"/>
      <c r="Y85" s="12" t="inlineStr"/>
      <c r="Z85" s="13" t="inlineStr"/>
      <c r="AA85" s="10" t="inlineStr"/>
      <c r="AB85" s="10" t="inlineStr"/>
      <c r="AC85" s="15" t="n"/>
      <c r="AD85" s="204">
        <f>COUNTIF(E85:AC85,"x")</f>
        <v/>
      </c>
      <c r="AE85" s="205" t="n"/>
      <c r="AF85" s="204" t="inlineStr"/>
      <c r="AG85" s="205" t="n"/>
      <c r="AH85" s="206" t="inlineStr"/>
      <c r="AI85" s="184" t="n"/>
      <c r="AJ85" s="184" t="n"/>
      <c r="AK85" s="184" t="n"/>
      <c r="AL85" s="205" t="n"/>
    </row>
    <row r="86" ht="20.1" customHeight="1" s="51">
      <c r="A86" s="3" t="n">
        <v>28</v>
      </c>
      <c r="B86" s="201" t="n"/>
      <c r="C86" s="184" t="n"/>
      <c r="D86" s="185" t="n"/>
      <c r="E86" s="9" t="inlineStr"/>
      <c r="F86" s="10" t="inlineStr"/>
      <c r="G86" s="10" t="inlineStr"/>
      <c r="H86" s="10" t="inlineStr"/>
      <c r="I86" s="14" t="inlineStr"/>
      <c r="J86" s="9" t="inlineStr"/>
      <c r="K86" s="10" t="inlineStr"/>
      <c r="L86" s="10" t="inlineStr"/>
      <c r="M86" s="10" t="inlineStr"/>
      <c r="N86" s="14" t="inlineStr"/>
      <c r="O86" s="11" t="n"/>
      <c r="P86" s="10" t="inlineStr"/>
      <c r="Q86" s="10" t="inlineStr"/>
      <c r="R86" s="11" t="n"/>
      <c r="S86" s="15" t="n"/>
      <c r="T86" s="9" t="inlineStr"/>
      <c r="U86" s="10" t="inlineStr"/>
      <c r="V86" s="10" t="inlineStr"/>
      <c r="W86" s="10" t="inlineStr"/>
      <c r="X86" s="14" t="inlineStr"/>
      <c r="Y86" s="12" t="inlineStr"/>
      <c r="Z86" s="13" t="inlineStr"/>
      <c r="AA86" s="10" t="inlineStr"/>
      <c r="AB86" s="10" t="inlineStr"/>
      <c r="AC86" s="15" t="n"/>
      <c r="AD86" s="204">
        <f>COUNTIF(E86:AC86,"x")</f>
        <v/>
      </c>
      <c r="AE86" s="205" t="n"/>
      <c r="AF86" s="204" t="inlineStr"/>
      <c r="AG86" s="205" t="n"/>
      <c r="AH86" s="206" t="inlineStr"/>
      <c r="AI86" s="184" t="n"/>
      <c r="AJ86" s="184" t="n"/>
      <c r="AK86" s="184" t="n"/>
      <c r="AL86" s="205" t="n"/>
    </row>
    <row r="87" ht="20.1" customHeight="1" s="51">
      <c r="A87" s="3" t="n">
        <v>29</v>
      </c>
      <c r="B87" s="201" t="n"/>
      <c r="C87" s="184" t="n"/>
      <c r="D87" s="185" t="n"/>
      <c r="E87" s="9" t="inlineStr"/>
      <c r="F87" s="10" t="inlineStr"/>
      <c r="G87" s="10" t="inlineStr"/>
      <c r="H87" s="10" t="inlineStr"/>
      <c r="I87" s="14" t="inlineStr"/>
      <c r="J87" s="9" t="inlineStr"/>
      <c r="K87" s="10" t="inlineStr"/>
      <c r="L87" s="10" t="inlineStr"/>
      <c r="M87" s="10" t="inlineStr"/>
      <c r="N87" s="14" t="inlineStr"/>
      <c r="O87" s="11" t="n"/>
      <c r="P87" s="10" t="inlineStr"/>
      <c r="Q87" s="10" t="inlineStr"/>
      <c r="R87" s="11" t="n"/>
      <c r="S87" s="15" t="n"/>
      <c r="T87" s="9" t="inlineStr"/>
      <c r="U87" s="10" t="inlineStr"/>
      <c r="V87" s="10" t="inlineStr"/>
      <c r="W87" s="10" t="inlineStr"/>
      <c r="X87" s="14" t="inlineStr"/>
      <c r="Y87" s="12" t="inlineStr"/>
      <c r="Z87" s="13" t="inlineStr"/>
      <c r="AA87" s="10" t="inlineStr"/>
      <c r="AB87" s="10" t="inlineStr"/>
      <c r="AC87" s="15" t="n"/>
      <c r="AD87" s="204">
        <f>COUNTIF(E87:AC87,"x")</f>
        <v/>
      </c>
      <c r="AE87" s="205" t="n"/>
      <c r="AF87" s="204" t="inlineStr"/>
      <c r="AG87" s="205" t="n"/>
      <c r="AH87" s="206" t="inlineStr"/>
      <c r="AI87" s="184" t="n"/>
      <c r="AJ87" s="184" t="n"/>
      <c r="AK87" s="184" t="n"/>
      <c r="AL87" s="205" t="n"/>
    </row>
    <row r="88" ht="20.1" customHeight="1" s="51">
      <c r="A88" s="3" t="n">
        <v>30</v>
      </c>
      <c r="B88" s="201" t="n"/>
      <c r="C88" s="184" t="n"/>
      <c r="D88" s="185" t="n"/>
      <c r="E88" s="9" t="inlineStr"/>
      <c r="F88" s="10" t="inlineStr"/>
      <c r="G88" s="10" t="inlineStr"/>
      <c r="H88" s="10" t="inlineStr"/>
      <c r="I88" s="14" t="inlineStr"/>
      <c r="J88" s="9" t="inlineStr"/>
      <c r="K88" s="10" t="inlineStr"/>
      <c r="L88" s="10" t="inlineStr"/>
      <c r="M88" s="10" t="inlineStr"/>
      <c r="N88" s="14" t="inlineStr"/>
      <c r="O88" s="11" t="n"/>
      <c r="P88" s="10" t="inlineStr"/>
      <c r="Q88" s="10" t="inlineStr"/>
      <c r="R88" s="11" t="n"/>
      <c r="S88" s="15" t="n"/>
      <c r="T88" s="9" t="inlineStr"/>
      <c r="U88" s="10" t="inlineStr"/>
      <c r="V88" s="10" t="inlineStr"/>
      <c r="W88" s="10" t="inlineStr"/>
      <c r="X88" s="14" t="inlineStr"/>
      <c r="Y88" s="12" t="inlineStr"/>
      <c r="Z88" s="13" t="inlineStr"/>
      <c r="AA88" s="10" t="inlineStr"/>
      <c r="AB88" s="10" t="inlineStr"/>
      <c r="AC88" s="15" t="n"/>
      <c r="AD88" s="204">
        <f>COUNTIF(E88:AC88,"x")</f>
        <v/>
      </c>
      <c r="AE88" s="205" t="n"/>
      <c r="AF88" s="204" t="inlineStr"/>
      <c r="AG88" s="205" t="n"/>
      <c r="AH88" s="206" t="inlineStr"/>
      <c r="AI88" s="184" t="n"/>
      <c r="AJ88" s="184" t="n"/>
      <c r="AK88" s="184" t="n"/>
      <c r="AL88" s="205" t="n"/>
    </row>
    <row r="89" ht="20.1" customHeight="1" s="51">
      <c r="A89" s="3" t="n">
        <v>31</v>
      </c>
      <c r="B89" s="201" t="n"/>
      <c r="C89" s="184" t="n"/>
      <c r="D89" s="185" t="n"/>
      <c r="E89" s="9" t="inlineStr"/>
      <c r="F89" s="10" t="inlineStr"/>
      <c r="G89" s="10" t="inlineStr"/>
      <c r="H89" s="10" t="inlineStr"/>
      <c r="I89" s="14" t="inlineStr"/>
      <c r="J89" s="9" t="inlineStr"/>
      <c r="K89" s="10" t="inlineStr"/>
      <c r="L89" s="10" t="inlineStr"/>
      <c r="M89" s="10" t="inlineStr"/>
      <c r="N89" s="14" t="inlineStr"/>
      <c r="O89" s="11" t="n"/>
      <c r="P89" s="10" t="inlineStr"/>
      <c r="Q89" s="10" t="inlineStr"/>
      <c r="R89" s="11" t="n"/>
      <c r="S89" s="15" t="n"/>
      <c r="T89" s="9" t="inlineStr"/>
      <c r="U89" s="10" t="inlineStr"/>
      <c r="V89" s="10" t="inlineStr"/>
      <c r="W89" s="10" t="inlineStr"/>
      <c r="X89" s="14" t="inlineStr"/>
      <c r="Y89" s="12" t="inlineStr"/>
      <c r="Z89" s="13" t="inlineStr"/>
      <c r="AA89" s="10" t="inlineStr"/>
      <c r="AB89" s="10" t="inlineStr"/>
      <c r="AC89" s="15" t="n"/>
      <c r="AD89" s="204">
        <f>COUNTIF(E89:AC89,"x")</f>
        <v/>
      </c>
      <c r="AE89" s="205" t="n"/>
      <c r="AF89" s="204" t="inlineStr"/>
      <c r="AG89" s="205" t="n"/>
      <c r="AH89" s="206" t="inlineStr"/>
      <c r="AI89" s="184" t="n"/>
      <c r="AJ89" s="184" t="n"/>
      <c r="AK89" s="184" t="n"/>
      <c r="AL89" s="205" t="n"/>
    </row>
    <row r="90" ht="20.1" customHeight="1" s="51">
      <c r="A90" s="3" t="n">
        <v>32</v>
      </c>
      <c r="B90" s="201" t="n"/>
      <c r="C90" s="184" t="n"/>
      <c r="D90" s="185" t="n"/>
      <c r="E90" s="9" t="inlineStr"/>
      <c r="F90" s="10" t="inlineStr"/>
      <c r="G90" s="10" t="inlineStr"/>
      <c r="H90" s="10" t="inlineStr"/>
      <c r="I90" s="14" t="inlineStr"/>
      <c r="J90" s="9" t="inlineStr"/>
      <c r="K90" s="10" t="inlineStr"/>
      <c r="L90" s="10" t="inlineStr"/>
      <c r="M90" s="10" t="inlineStr"/>
      <c r="N90" s="14" t="inlineStr"/>
      <c r="O90" s="11" t="n"/>
      <c r="P90" s="10" t="inlineStr"/>
      <c r="Q90" s="10" t="inlineStr"/>
      <c r="R90" s="11" t="n"/>
      <c r="S90" s="15" t="n"/>
      <c r="T90" s="9" t="inlineStr"/>
      <c r="U90" s="10" t="inlineStr"/>
      <c r="V90" s="10" t="inlineStr"/>
      <c r="W90" s="10" t="inlineStr"/>
      <c r="X90" s="14" t="inlineStr"/>
      <c r="Y90" s="12" t="inlineStr"/>
      <c r="Z90" s="13" t="inlineStr"/>
      <c r="AA90" s="10" t="inlineStr"/>
      <c r="AB90" s="10" t="inlineStr"/>
      <c r="AC90" s="15" t="n"/>
      <c r="AD90" s="204">
        <f>COUNTIF(E90:AC90,"x")</f>
        <v/>
      </c>
      <c r="AE90" s="205" t="n"/>
      <c r="AF90" s="204" t="inlineStr"/>
      <c r="AG90" s="205" t="n"/>
      <c r="AH90" s="206" t="inlineStr"/>
      <c r="AI90" s="184" t="n"/>
      <c r="AJ90" s="184" t="n"/>
      <c r="AK90" s="184" t="n"/>
      <c r="AL90" s="205" t="n"/>
    </row>
    <row r="91" ht="20.1" customHeight="1" s="51">
      <c r="A91" s="3" t="n">
        <v>33</v>
      </c>
      <c r="B91" s="201" t="n"/>
      <c r="C91" s="184" t="n"/>
      <c r="D91" s="185" t="n"/>
      <c r="E91" s="9" t="inlineStr"/>
      <c r="F91" s="10" t="inlineStr"/>
      <c r="G91" s="10" t="inlineStr"/>
      <c r="H91" s="10" t="inlineStr"/>
      <c r="I91" s="14" t="inlineStr"/>
      <c r="J91" s="9" t="inlineStr"/>
      <c r="K91" s="10" t="inlineStr"/>
      <c r="L91" s="10" t="inlineStr"/>
      <c r="M91" s="10" t="inlineStr"/>
      <c r="N91" s="14" t="inlineStr"/>
      <c r="O91" s="11" t="n"/>
      <c r="P91" s="10" t="inlineStr"/>
      <c r="Q91" s="10" t="inlineStr"/>
      <c r="R91" s="11" t="n"/>
      <c r="S91" s="15" t="n"/>
      <c r="T91" s="9" t="inlineStr"/>
      <c r="U91" s="10" t="inlineStr"/>
      <c r="V91" s="10" t="inlineStr"/>
      <c r="W91" s="10" t="inlineStr"/>
      <c r="X91" s="14" t="inlineStr"/>
      <c r="Y91" s="12" t="inlineStr"/>
      <c r="Z91" s="13" t="inlineStr"/>
      <c r="AA91" s="10" t="inlineStr"/>
      <c r="AB91" s="10" t="inlineStr"/>
      <c r="AC91" s="15" t="n"/>
      <c r="AD91" s="204">
        <f>COUNTIF(E91:AC91,"x")</f>
        <v/>
      </c>
      <c r="AE91" s="205" t="n"/>
      <c r="AF91" s="204" t="inlineStr"/>
      <c r="AG91" s="205" t="n"/>
      <c r="AH91" s="206" t="inlineStr"/>
      <c r="AI91" s="184" t="n"/>
      <c r="AJ91" s="184" t="n"/>
      <c r="AK91" s="184" t="n"/>
      <c r="AL91" s="205" t="n"/>
    </row>
    <row r="92" ht="20.1" customHeight="1" s="51">
      <c r="A92" s="3" t="n">
        <v>34</v>
      </c>
      <c r="B92" s="201" t="n"/>
      <c r="C92" s="184" t="n"/>
      <c r="D92" s="185" t="n"/>
      <c r="E92" s="9" t="inlineStr"/>
      <c r="F92" s="10" t="inlineStr"/>
      <c r="G92" s="10" t="inlineStr"/>
      <c r="H92" s="10" t="inlineStr"/>
      <c r="I92" s="14" t="inlineStr"/>
      <c r="J92" s="9" t="inlineStr"/>
      <c r="K92" s="10" t="inlineStr"/>
      <c r="L92" s="10" t="inlineStr"/>
      <c r="M92" s="10" t="inlineStr"/>
      <c r="N92" s="14" t="inlineStr"/>
      <c r="O92" s="11" t="n"/>
      <c r="P92" s="10" t="inlineStr"/>
      <c r="Q92" s="10" t="inlineStr"/>
      <c r="R92" s="11" t="n"/>
      <c r="S92" s="15" t="n"/>
      <c r="T92" s="9" t="inlineStr"/>
      <c r="U92" s="10" t="inlineStr"/>
      <c r="V92" s="10" t="inlineStr"/>
      <c r="W92" s="10" t="inlineStr"/>
      <c r="X92" s="14" t="inlineStr"/>
      <c r="Y92" s="12" t="inlineStr"/>
      <c r="Z92" s="13" t="inlineStr"/>
      <c r="AA92" s="10" t="inlineStr"/>
      <c r="AB92" s="10" t="inlineStr"/>
      <c r="AC92" s="15" t="n"/>
      <c r="AD92" s="204">
        <f>COUNTIF(E92:AC92,"x")</f>
        <v/>
      </c>
      <c r="AE92" s="205" t="n"/>
      <c r="AF92" s="204" t="inlineStr"/>
      <c r="AG92" s="205" t="n"/>
      <c r="AH92" s="206" t="inlineStr"/>
      <c r="AI92" s="184" t="n"/>
      <c r="AJ92" s="184" t="n"/>
      <c r="AK92" s="184" t="n"/>
      <c r="AL92" s="205" t="n"/>
    </row>
    <row r="93" ht="20.1" customHeight="1" s="51">
      <c r="A93" s="3" t="n">
        <v>35</v>
      </c>
      <c r="B93" s="201" t="n"/>
      <c r="C93" s="184" t="n"/>
      <c r="D93" s="185" t="n"/>
      <c r="E93" s="9" t="inlineStr"/>
      <c r="F93" s="10" t="inlineStr"/>
      <c r="G93" s="10" t="inlineStr"/>
      <c r="H93" s="10" t="inlineStr"/>
      <c r="I93" s="14" t="inlineStr"/>
      <c r="J93" s="9" t="inlineStr"/>
      <c r="K93" s="10" t="inlineStr"/>
      <c r="L93" s="10" t="inlineStr"/>
      <c r="M93" s="10" t="inlineStr"/>
      <c r="N93" s="14" t="inlineStr"/>
      <c r="O93" s="11" t="n"/>
      <c r="P93" s="10" t="inlineStr"/>
      <c r="Q93" s="10" t="inlineStr"/>
      <c r="R93" s="11" t="n"/>
      <c r="S93" s="15" t="n"/>
      <c r="T93" s="9" t="inlineStr"/>
      <c r="U93" s="10" t="inlineStr"/>
      <c r="V93" s="10" t="inlineStr"/>
      <c r="W93" s="10" t="inlineStr"/>
      <c r="X93" s="14" t="inlineStr"/>
      <c r="Y93" s="12" t="inlineStr"/>
      <c r="Z93" s="13" t="inlineStr"/>
      <c r="AA93" s="10" t="inlineStr"/>
      <c r="AB93" s="10" t="inlineStr"/>
      <c r="AC93" s="15" t="n"/>
      <c r="AD93" s="204">
        <f>COUNTIF(E93:AC93,"x")</f>
        <v/>
      </c>
      <c r="AE93" s="205" t="n"/>
      <c r="AF93" s="204" t="inlineStr"/>
      <c r="AG93" s="205" t="n"/>
      <c r="AH93" s="206" t="inlineStr"/>
      <c r="AI93" s="184" t="n"/>
      <c r="AJ93" s="184" t="n"/>
      <c r="AK93" s="184" t="n"/>
      <c r="AL93" s="205" t="n"/>
    </row>
    <row r="94" ht="20.1" customHeight="1" s="51">
      <c r="A94" s="3" t="n">
        <v>36</v>
      </c>
      <c r="B94" s="201" t="n"/>
      <c r="C94" s="184" t="n"/>
      <c r="D94" s="185" t="n"/>
      <c r="E94" s="9" t="inlineStr"/>
      <c r="F94" s="10" t="inlineStr"/>
      <c r="G94" s="10" t="inlineStr"/>
      <c r="H94" s="10" t="inlineStr"/>
      <c r="I94" s="14" t="inlineStr"/>
      <c r="J94" s="9" t="inlineStr"/>
      <c r="K94" s="10" t="inlineStr"/>
      <c r="L94" s="10" t="inlineStr"/>
      <c r="M94" s="10" t="inlineStr"/>
      <c r="N94" s="14" t="inlineStr"/>
      <c r="O94" s="11" t="n"/>
      <c r="P94" s="10" t="inlineStr"/>
      <c r="Q94" s="10" t="inlineStr"/>
      <c r="R94" s="11" t="n"/>
      <c r="S94" s="15" t="n"/>
      <c r="T94" s="9" t="inlineStr"/>
      <c r="U94" s="10" t="inlineStr"/>
      <c r="V94" s="10" t="inlineStr"/>
      <c r="W94" s="10" t="inlineStr"/>
      <c r="X94" s="14" t="inlineStr"/>
      <c r="Y94" s="12" t="inlineStr"/>
      <c r="Z94" s="13" t="inlineStr"/>
      <c r="AA94" s="10" t="inlineStr"/>
      <c r="AB94" s="10" t="inlineStr"/>
      <c r="AC94" s="15" t="n"/>
      <c r="AD94" s="204">
        <f>COUNTIF(E94:AC94,"x")</f>
        <v/>
      </c>
      <c r="AE94" s="205" t="n"/>
      <c r="AF94" s="204" t="inlineStr"/>
      <c r="AG94" s="205" t="n"/>
      <c r="AH94" s="206" t="inlineStr"/>
      <c r="AI94" s="184" t="n"/>
      <c r="AJ94" s="184" t="n"/>
      <c r="AK94" s="184" t="n"/>
      <c r="AL94" s="205" t="n"/>
    </row>
    <row r="95" ht="20.1" customHeight="1" s="51">
      <c r="A95" s="3" t="n">
        <v>37</v>
      </c>
      <c r="B95" s="201" t="n"/>
      <c r="C95" s="184" t="n"/>
      <c r="D95" s="185" t="n"/>
      <c r="E95" s="9" t="inlineStr"/>
      <c r="F95" s="10" t="inlineStr"/>
      <c r="G95" s="10" t="inlineStr"/>
      <c r="H95" s="10" t="inlineStr"/>
      <c r="I95" s="14" t="inlineStr"/>
      <c r="J95" s="9" t="inlineStr"/>
      <c r="K95" s="10" t="inlineStr"/>
      <c r="L95" s="10" t="inlineStr"/>
      <c r="M95" s="10" t="inlineStr"/>
      <c r="N95" s="14" t="inlineStr"/>
      <c r="O95" s="11" t="n"/>
      <c r="P95" s="10" t="inlineStr"/>
      <c r="Q95" s="10" t="inlineStr"/>
      <c r="R95" s="11" t="n"/>
      <c r="S95" s="15" t="n"/>
      <c r="T95" s="9" t="inlineStr"/>
      <c r="U95" s="10" t="inlineStr"/>
      <c r="V95" s="10" t="inlineStr"/>
      <c r="W95" s="10" t="inlineStr"/>
      <c r="X95" s="14" t="inlineStr"/>
      <c r="Y95" s="12" t="inlineStr"/>
      <c r="Z95" s="13" t="inlineStr"/>
      <c r="AA95" s="10" t="inlineStr"/>
      <c r="AB95" s="10" t="inlineStr"/>
      <c r="AC95" s="15" t="n"/>
      <c r="AD95" s="204">
        <f>COUNTIF(E95:AC95,"x")</f>
        <v/>
      </c>
      <c r="AE95" s="205" t="n"/>
      <c r="AF95" s="204" t="inlineStr"/>
      <c r="AG95" s="205" t="n"/>
      <c r="AH95" s="206" t="inlineStr"/>
      <c r="AI95" s="184" t="n"/>
      <c r="AJ95" s="184" t="n"/>
      <c r="AK95" s="184" t="n"/>
      <c r="AL95" s="205" t="n"/>
    </row>
    <row r="96" ht="20.1" customHeight="1" s="51">
      <c r="A96" s="3" t="n">
        <v>38</v>
      </c>
      <c r="B96" s="214" t="n"/>
      <c r="C96" s="184" t="n"/>
      <c r="D96" s="205" t="n"/>
      <c r="E96" s="9" t="inlineStr"/>
      <c r="F96" s="10" t="inlineStr"/>
      <c r="G96" s="10" t="inlineStr"/>
      <c r="H96" s="10" t="inlineStr"/>
      <c r="I96" s="14" t="inlineStr"/>
      <c r="J96" s="9" t="inlineStr"/>
      <c r="K96" s="10" t="inlineStr"/>
      <c r="L96" s="10" t="inlineStr"/>
      <c r="M96" s="10" t="inlineStr"/>
      <c r="N96" s="14" t="inlineStr"/>
      <c r="O96" s="11" t="n"/>
      <c r="P96" s="10" t="inlineStr"/>
      <c r="Q96" s="10" t="inlineStr"/>
      <c r="R96" s="11" t="n"/>
      <c r="S96" s="15" t="n"/>
      <c r="T96" s="9" t="inlineStr"/>
      <c r="U96" s="10" t="inlineStr"/>
      <c r="V96" s="10" t="inlineStr"/>
      <c r="W96" s="10" t="inlineStr"/>
      <c r="X96" s="14" t="inlineStr"/>
      <c r="Y96" s="12" t="inlineStr"/>
      <c r="Z96" s="13" t="inlineStr"/>
      <c r="AA96" s="10" t="inlineStr"/>
      <c r="AB96" s="10" t="inlineStr"/>
      <c r="AC96" s="15" t="n"/>
      <c r="AD96" s="204">
        <f>COUNTIF(E96:AC96,"x")</f>
        <v/>
      </c>
      <c r="AE96" s="205" t="n"/>
      <c r="AF96" s="204" t="inlineStr"/>
      <c r="AG96" s="205" t="n"/>
      <c r="AH96" s="204" t="inlineStr"/>
      <c r="AI96" s="184" t="n"/>
      <c r="AJ96" s="184" t="n"/>
      <c r="AK96" s="184" t="n"/>
      <c r="AL96" s="205" t="n"/>
    </row>
    <row r="97" ht="20.1" customHeight="1" s="51">
      <c r="A97" s="3" t="n">
        <v>39</v>
      </c>
      <c r="B97" s="214" t="n"/>
      <c r="C97" s="184" t="n"/>
      <c r="D97" s="205" t="n"/>
      <c r="E97" s="9" t="inlineStr"/>
      <c r="F97" s="10" t="inlineStr"/>
      <c r="G97" s="10" t="inlineStr"/>
      <c r="H97" s="10" t="inlineStr"/>
      <c r="I97" s="14" t="inlineStr"/>
      <c r="J97" s="9" t="inlineStr"/>
      <c r="K97" s="10" t="inlineStr"/>
      <c r="L97" s="10" t="inlineStr"/>
      <c r="M97" s="10" t="inlineStr"/>
      <c r="N97" s="14" t="inlineStr"/>
      <c r="O97" s="11" t="n"/>
      <c r="P97" s="10" t="inlineStr"/>
      <c r="Q97" s="10" t="inlineStr"/>
      <c r="R97" s="11" t="n"/>
      <c r="S97" s="15" t="n"/>
      <c r="T97" s="9" t="inlineStr"/>
      <c r="U97" s="10" t="inlineStr"/>
      <c r="V97" s="10" t="inlineStr"/>
      <c r="W97" s="10" t="inlineStr"/>
      <c r="X97" s="14" t="inlineStr"/>
      <c r="Y97" s="12" t="inlineStr"/>
      <c r="Z97" s="13" t="inlineStr"/>
      <c r="AA97" s="10" t="inlineStr"/>
      <c r="AB97" s="10" t="inlineStr"/>
      <c r="AC97" s="15" t="n"/>
      <c r="AD97" s="204">
        <f>COUNTIF(E97:AC97,"x")</f>
        <v/>
      </c>
      <c r="AE97" s="205" t="n"/>
      <c r="AF97" s="204" t="inlineStr"/>
      <c r="AG97" s="205" t="n"/>
      <c r="AH97" s="204" t="inlineStr"/>
      <c r="AI97" s="184" t="n"/>
      <c r="AJ97" s="184" t="n"/>
      <c r="AK97" s="184" t="n"/>
      <c r="AL97" s="205" t="n"/>
    </row>
    <row r="98" ht="20.1" customHeight="1" s="51">
      <c r="A98" s="3" t="n">
        <v>40</v>
      </c>
      <c r="B98" s="214" t="n"/>
      <c r="C98" s="184" t="n"/>
      <c r="D98" s="205" t="n"/>
      <c r="E98" s="9" t="inlineStr"/>
      <c r="F98" s="10" t="inlineStr"/>
      <c r="G98" s="10" t="inlineStr"/>
      <c r="H98" s="10" t="inlineStr"/>
      <c r="I98" s="14" t="inlineStr"/>
      <c r="J98" s="9" t="inlineStr"/>
      <c r="K98" s="10" t="inlineStr"/>
      <c r="L98" s="10" t="inlineStr"/>
      <c r="M98" s="10" t="inlineStr"/>
      <c r="N98" s="14" t="inlineStr"/>
      <c r="O98" s="11" t="n"/>
      <c r="P98" s="10" t="inlineStr"/>
      <c r="Q98" s="10" t="inlineStr"/>
      <c r="R98" s="11" t="n"/>
      <c r="S98" s="15" t="n"/>
      <c r="T98" s="9" t="inlineStr"/>
      <c r="U98" s="10" t="inlineStr"/>
      <c r="V98" s="10" t="inlineStr"/>
      <c r="W98" s="10" t="inlineStr"/>
      <c r="X98" s="14" t="inlineStr"/>
      <c r="Y98" s="12" t="inlineStr"/>
      <c r="Z98" s="13" t="inlineStr"/>
      <c r="AA98" s="10" t="inlineStr"/>
      <c r="AB98" s="10" t="inlineStr"/>
      <c r="AC98" s="15" t="n"/>
      <c r="AD98" s="204">
        <f>COUNTIF(E98:AC98,"x")</f>
        <v/>
      </c>
      <c r="AE98" s="205" t="n"/>
      <c r="AF98" s="204" t="inlineStr"/>
      <c r="AG98" s="205" t="n"/>
      <c r="AH98" s="204" t="inlineStr"/>
      <c r="AI98" s="184" t="n"/>
      <c r="AJ98" s="184" t="n"/>
      <c r="AK98" s="184" t="n"/>
      <c r="AL98" s="205" t="n"/>
    </row>
    <row r="99" ht="20.1" customHeight="1" s="51">
      <c r="A99" s="3" t="n">
        <v>41</v>
      </c>
      <c r="B99" s="214" t="n"/>
      <c r="C99" s="184" t="n"/>
      <c r="D99" s="205" t="n"/>
      <c r="E99" s="9" t="inlineStr"/>
      <c r="F99" s="10" t="inlineStr"/>
      <c r="G99" s="10" t="inlineStr"/>
      <c r="H99" s="10" t="inlineStr"/>
      <c r="I99" s="14" t="inlineStr"/>
      <c r="J99" s="9" t="inlineStr"/>
      <c r="K99" s="10" t="inlineStr"/>
      <c r="L99" s="10" t="inlineStr"/>
      <c r="M99" s="10" t="inlineStr"/>
      <c r="N99" s="14" t="inlineStr"/>
      <c r="O99" s="11" t="n"/>
      <c r="P99" s="10" t="inlineStr"/>
      <c r="Q99" s="10" t="inlineStr"/>
      <c r="R99" s="11" t="n"/>
      <c r="S99" s="15" t="n"/>
      <c r="T99" s="9" t="inlineStr"/>
      <c r="U99" s="10" t="inlineStr"/>
      <c r="V99" s="10" t="inlineStr"/>
      <c r="W99" s="10" t="inlineStr"/>
      <c r="X99" s="14" t="inlineStr"/>
      <c r="Y99" s="12" t="inlineStr"/>
      <c r="Z99" s="13" t="inlineStr"/>
      <c r="AA99" s="10" t="inlineStr"/>
      <c r="AB99" s="10" t="inlineStr"/>
      <c r="AC99" s="15" t="n"/>
      <c r="AD99" s="204">
        <f>COUNTIF(E99:AC99,"x")</f>
        <v/>
      </c>
      <c r="AE99" s="205" t="n"/>
      <c r="AF99" s="204" t="inlineStr"/>
      <c r="AG99" s="205" t="n"/>
      <c r="AH99" s="204" t="inlineStr"/>
      <c r="AI99" s="184" t="n"/>
      <c r="AJ99" s="184" t="n"/>
      <c r="AK99" s="184" t="n"/>
      <c r="AL99" s="205" t="n"/>
    </row>
    <row r="100" ht="20.1" customHeight="1" s="51">
      <c r="A100" s="3" t="n">
        <v>42</v>
      </c>
      <c r="B100" s="214" t="n"/>
      <c r="C100" s="184" t="n"/>
      <c r="D100" s="205" t="n"/>
      <c r="E100" s="9" t="inlineStr"/>
      <c r="F100" s="10" t="inlineStr"/>
      <c r="G100" s="10" t="inlineStr"/>
      <c r="H100" s="10" t="inlineStr"/>
      <c r="I100" s="14" t="inlineStr"/>
      <c r="J100" s="9" t="inlineStr"/>
      <c r="K100" s="10" t="inlineStr"/>
      <c r="L100" s="10" t="inlineStr"/>
      <c r="M100" s="10" t="inlineStr"/>
      <c r="N100" s="14" t="inlineStr"/>
      <c r="O100" s="11" t="n"/>
      <c r="P100" s="10" t="inlineStr"/>
      <c r="Q100" s="10" t="inlineStr"/>
      <c r="R100" s="11" t="n"/>
      <c r="S100" s="15" t="n"/>
      <c r="T100" s="9" t="inlineStr"/>
      <c r="U100" s="10" t="inlineStr"/>
      <c r="V100" s="10" t="inlineStr"/>
      <c r="W100" s="10" t="inlineStr"/>
      <c r="X100" s="14" t="inlineStr"/>
      <c r="Y100" s="12" t="inlineStr"/>
      <c r="Z100" s="13" t="inlineStr"/>
      <c r="AA100" s="10" t="inlineStr"/>
      <c r="AB100" s="10" t="inlineStr"/>
      <c r="AC100" s="15" t="n"/>
      <c r="AD100" s="204">
        <f>COUNTIF(E100:AC100,"x")</f>
        <v/>
      </c>
      <c r="AE100" s="205" t="n"/>
      <c r="AF100" s="204" t="inlineStr"/>
      <c r="AG100" s="205" t="n"/>
      <c r="AH100" s="204" t="inlineStr"/>
      <c r="AI100" s="184" t="n"/>
      <c r="AJ100" s="184" t="n"/>
      <c r="AK100" s="184" t="n"/>
      <c r="AL100" s="205" t="n"/>
    </row>
    <row r="101" ht="20.1" customHeight="1" s="51">
      <c r="A101" s="3" t="n">
        <v>43</v>
      </c>
      <c r="B101" s="201" t="n"/>
      <c r="C101" s="184" t="n"/>
      <c r="D101" s="185" t="n"/>
      <c r="E101" s="9" t="inlineStr"/>
      <c r="F101" s="10" t="inlineStr"/>
      <c r="G101" s="10" t="inlineStr"/>
      <c r="H101" s="10" t="inlineStr"/>
      <c r="I101" s="14" t="inlineStr"/>
      <c r="J101" s="9" t="inlineStr"/>
      <c r="K101" s="10" t="inlineStr"/>
      <c r="L101" s="10" t="inlineStr"/>
      <c r="M101" s="10" t="inlineStr"/>
      <c r="N101" s="14" t="inlineStr"/>
      <c r="O101" s="11" t="n"/>
      <c r="P101" s="10" t="inlineStr"/>
      <c r="Q101" s="10" t="inlineStr"/>
      <c r="R101" s="11" t="n"/>
      <c r="S101" s="15" t="n"/>
      <c r="T101" s="9" t="inlineStr"/>
      <c r="U101" s="10" t="inlineStr"/>
      <c r="V101" s="10" t="inlineStr"/>
      <c r="W101" s="10" t="inlineStr"/>
      <c r="X101" s="14" t="inlineStr"/>
      <c r="Y101" s="12" t="inlineStr"/>
      <c r="Z101" s="13" t="inlineStr"/>
      <c r="AA101" s="10" t="inlineStr"/>
      <c r="AB101" s="10" t="inlineStr"/>
      <c r="AC101" s="15" t="n"/>
      <c r="AD101" s="204">
        <f>COUNTIF(E101:AC101,"x")</f>
        <v/>
      </c>
      <c r="AE101" s="205" t="n"/>
      <c r="AF101" s="204" t="inlineStr"/>
      <c r="AG101" s="205" t="n"/>
      <c r="AH101" s="206" t="inlineStr"/>
      <c r="AI101" s="184" t="n"/>
      <c r="AJ101" s="184" t="n"/>
      <c r="AK101" s="184" t="n"/>
      <c r="AL101" s="205" t="n"/>
    </row>
    <row r="102" ht="20.1" customHeight="1" s="51">
      <c r="A102" s="3" t="n">
        <v>44</v>
      </c>
      <c r="B102" s="201" t="n"/>
      <c r="C102" s="184" t="n"/>
      <c r="D102" s="185" t="n"/>
      <c r="E102" s="9" t="inlineStr"/>
      <c r="F102" s="10" t="inlineStr"/>
      <c r="G102" s="10" t="inlineStr"/>
      <c r="H102" s="10" t="inlineStr"/>
      <c r="I102" s="14" t="inlineStr"/>
      <c r="J102" s="9" t="inlineStr"/>
      <c r="K102" s="10" t="inlineStr"/>
      <c r="L102" s="10" t="inlineStr"/>
      <c r="M102" s="10" t="inlineStr"/>
      <c r="N102" s="14" t="inlineStr"/>
      <c r="O102" s="11" t="n"/>
      <c r="P102" s="10" t="inlineStr"/>
      <c r="Q102" s="10" t="inlineStr"/>
      <c r="R102" s="11" t="n"/>
      <c r="S102" s="15" t="n"/>
      <c r="T102" s="9" t="inlineStr"/>
      <c r="U102" s="10" t="inlineStr"/>
      <c r="V102" s="10" t="inlineStr"/>
      <c r="W102" s="10" t="inlineStr"/>
      <c r="X102" s="14" t="inlineStr"/>
      <c r="Y102" s="12" t="inlineStr"/>
      <c r="Z102" s="13" t="inlineStr"/>
      <c r="AA102" s="10" t="inlineStr"/>
      <c r="AB102" s="10" t="inlineStr"/>
      <c r="AC102" s="15" t="n"/>
      <c r="AD102" s="204">
        <f>COUNTIF(E102:AC102,"x")</f>
        <v/>
      </c>
      <c r="AE102" s="205" t="n"/>
      <c r="AF102" s="204" t="inlineStr"/>
      <c r="AG102" s="205" t="n"/>
      <c r="AH102" s="206" t="inlineStr"/>
      <c r="AI102" s="184" t="n"/>
      <c r="AJ102" s="184" t="n"/>
      <c r="AK102" s="184" t="n"/>
      <c r="AL102" s="205" t="n"/>
    </row>
    <row r="103" ht="20.1" customHeight="1" s="51">
      <c r="A103" s="3" t="n">
        <v>45</v>
      </c>
      <c r="B103" s="201" t="n"/>
      <c r="C103" s="184" t="n"/>
      <c r="D103" s="185" t="n"/>
      <c r="E103" s="9" t="inlineStr"/>
      <c r="F103" s="10" t="inlineStr"/>
      <c r="G103" s="10" t="inlineStr"/>
      <c r="H103" s="10" t="inlineStr"/>
      <c r="I103" s="14" t="inlineStr"/>
      <c r="J103" s="9" t="inlineStr"/>
      <c r="K103" s="10" t="inlineStr"/>
      <c r="L103" s="10" t="inlineStr"/>
      <c r="M103" s="10" t="inlineStr"/>
      <c r="N103" s="14" t="inlineStr"/>
      <c r="O103" s="11" t="n"/>
      <c r="P103" s="10" t="inlineStr"/>
      <c r="Q103" s="10" t="inlineStr"/>
      <c r="R103" s="11" t="n"/>
      <c r="S103" s="15" t="n"/>
      <c r="T103" s="9" t="inlineStr"/>
      <c r="U103" s="10" t="inlineStr"/>
      <c r="V103" s="10" t="inlineStr"/>
      <c r="W103" s="10" t="inlineStr"/>
      <c r="X103" s="14" t="inlineStr"/>
      <c r="Y103" s="12" t="inlineStr"/>
      <c r="Z103" s="13" t="inlineStr"/>
      <c r="AA103" s="10" t="inlineStr"/>
      <c r="AB103" s="10" t="inlineStr"/>
      <c r="AC103" s="15" t="n"/>
      <c r="AD103" s="204">
        <f>COUNTIF(E103:AC103,"x")</f>
        <v/>
      </c>
      <c r="AE103" s="205" t="n"/>
      <c r="AF103" s="204" t="inlineStr"/>
      <c r="AG103" s="205" t="n"/>
      <c r="AH103" s="206" t="inlineStr"/>
      <c r="AI103" s="184" t="n"/>
      <c r="AJ103" s="184" t="n"/>
      <c r="AK103" s="184" t="n"/>
      <c r="AL103" s="205" t="n"/>
    </row>
    <row r="104" ht="20.1" customHeight="1" s="51">
      <c r="A104" s="3" t="n">
        <v>46</v>
      </c>
      <c r="B104" s="201" t="n"/>
      <c r="C104" s="184" t="n"/>
      <c r="D104" s="185" t="n"/>
      <c r="E104" s="9" t="inlineStr"/>
      <c r="F104" s="10" t="inlineStr"/>
      <c r="G104" s="10" t="inlineStr"/>
      <c r="H104" s="10" t="inlineStr"/>
      <c r="I104" s="14" t="inlineStr"/>
      <c r="J104" s="9" t="inlineStr"/>
      <c r="K104" s="10" t="inlineStr"/>
      <c r="L104" s="10" t="inlineStr"/>
      <c r="M104" s="10" t="inlineStr"/>
      <c r="N104" s="14" t="inlineStr"/>
      <c r="O104" s="11" t="n"/>
      <c r="P104" s="10" t="inlineStr"/>
      <c r="Q104" s="10" t="inlineStr"/>
      <c r="R104" s="11" t="n"/>
      <c r="S104" s="15" t="n"/>
      <c r="T104" s="9" t="inlineStr"/>
      <c r="U104" s="10" t="inlineStr"/>
      <c r="V104" s="10" t="inlineStr"/>
      <c r="W104" s="10" t="inlineStr"/>
      <c r="X104" s="14" t="inlineStr"/>
      <c r="Y104" s="12" t="inlineStr"/>
      <c r="Z104" s="13" t="inlineStr"/>
      <c r="AA104" s="10" t="inlineStr"/>
      <c r="AB104" s="10" t="inlineStr"/>
      <c r="AC104" s="15" t="n"/>
      <c r="AD104" s="204">
        <f>COUNTIF(E104:AC104,"x")</f>
        <v/>
      </c>
      <c r="AE104" s="205" t="n"/>
      <c r="AF104" s="204" t="inlineStr"/>
      <c r="AG104" s="205" t="n"/>
      <c r="AH104" s="206" t="inlineStr"/>
      <c r="AI104" s="184" t="n"/>
      <c r="AJ104" s="184" t="n"/>
      <c r="AK104" s="184" t="n"/>
      <c r="AL104" s="205" t="n"/>
    </row>
    <row r="105" ht="20.1" customHeight="1" s="51">
      <c r="A105" s="3" t="n">
        <v>47</v>
      </c>
      <c r="B105" s="214" t="n"/>
      <c r="C105" s="184" t="n"/>
      <c r="D105" s="205" t="n"/>
      <c r="E105" s="9" t="inlineStr"/>
      <c r="F105" s="10" t="inlineStr"/>
      <c r="G105" s="10" t="inlineStr"/>
      <c r="H105" s="10" t="inlineStr"/>
      <c r="I105" s="14" t="inlineStr"/>
      <c r="J105" s="9" t="inlineStr"/>
      <c r="K105" s="10" t="inlineStr"/>
      <c r="L105" s="10" t="inlineStr"/>
      <c r="M105" s="10" t="inlineStr"/>
      <c r="N105" s="14" t="inlineStr"/>
      <c r="O105" s="11" t="n"/>
      <c r="P105" s="10" t="inlineStr"/>
      <c r="Q105" s="10" t="inlineStr"/>
      <c r="R105" s="11" t="n"/>
      <c r="S105" s="15" t="n"/>
      <c r="T105" s="9" t="inlineStr"/>
      <c r="U105" s="10" t="inlineStr"/>
      <c r="V105" s="10" t="inlineStr"/>
      <c r="W105" s="10" t="inlineStr"/>
      <c r="X105" s="14" t="inlineStr"/>
      <c r="Y105" s="12" t="inlineStr"/>
      <c r="Z105" s="13" t="inlineStr"/>
      <c r="AA105" s="10" t="inlineStr"/>
      <c r="AB105" s="10" t="inlineStr"/>
      <c r="AC105" s="15" t="n"/>
      <c r="AD105" s="204">
        <f>COUNTIF(E105:AC105,"x")</f>
        <v/>
      </c>
      <c r="AE105" s="205" t="n"/>
      <c r="AF105" s="204" t="inlineStr"/>
      <c r="AG105" s="205" t="n"/>
      <c r="AH105" s="204" t="inlineStr"/>
      <c r="AI105" s="184" t="n"/>
      <c r="AJ105" s="184" t="n"/>
      <c r="AK105" s="184" t="n"/>
      <c r="AL105" s="205" t="n"/>
    </row>
    <row r="106" ht="20.1" customHeight="1" s="51">
      <c r="A106" s="3" t="n">
        <v>48</v>
      </c>
      <c r="B106" s="214" t="n"/>
      <c r="C106" s="184" t="n"/>
      <c r="D106" s="205" t="n"/>
      <c r="E106" s="9" t="inlineStr"/>
      <c r="F106" s="10" t="inlineStr"/>
      <c r="G106" s="10" t="inlineStr"/>
      <c r="H106" s="10" t="inlineStr"/>
      <c r="I106" s="14" t="inlineStr"/>
      <c r="J106" s="9" t="inlineStr"/>
      <c r="K106" s="10" t="inlineStr"/>
      <c r="L106" s="10" t="inlineStr"/>
      <c r="M106" s="10" t="inlineStr"/>
      <c r="N106" s="14" t="inlineStr"/>
      <c r="O106" s="11" t="n"/>
      <c r="P106" s="10" t="inlineStr"/>
      <c r="Q106" s="10" t="inlineStr"/>
      <c r="R106" s="11" t="n"/>
      <c r="S106" s="15" t="n"/>
      <c r="T106" s="9" t="inlineStr"/>
      <c r="U106" s="10" t="inlineStr"/>
      <c r="V106" s="10" t="inlineStr"/>
      <c r="W106" s="10" t="inlineStr"/>
      <c r="X106" s="14" t="inlineStr"/>
      <c r="Y106" s="12" t="inlineStr"/>
      <c r="Z106" s="13" t="inlineStr"/>
      <c r="AA106" s="10" t="inlineStr"/>
      <c r="AB106" s="10" t="inlineStr"/>
      <c r="AC106" s="15" t="n"/>
      <c r="AD106" s="204">
        <f>COUNTIF(E106:AC106,"x")</f>
        <v/>
      </c>
      <c r="AE106" s="205" t="n"/>
      <c r="AF106" s="204" t="inlineStr"/>
      <c r="AG106" s="205" t="n"/>
      <c r="AH106" s="204" t="inlineStr"/>
      <c r="AI106" s="184" t="n"/>
      <c r="AJ106" s="184" t="n"/>
      <c r="AK106" s="184" t="n"/>
      <c r="AL106" s="205" t="n"/>
    </row>
    <row r="107" ht="20.1" customHeight="1" s="51">
      <c r="A107" s="3" t="n">
        <v>49</v>
      </c>
      <c r="B107" s="201" t="n"/>
      <c r="C107" s="184" t="n"/>
      <c r="D107" s="185" t="n"/>
      <c r="E107" s="9" t="inlineStr"/>
      <c r="F107" s="10" t="inlineStr"/>
      <c r="G107" s="10" t="inlineStr"/>
      <c r="H107" s="10" t="inlineStr"/>
      <c r="I107" s="14" t="inlineStr"/>
      <c r="J107" s="9" t="inlineStr"/>
      <c r="K107" s="10" t="inlineStr"/>
      <c r="L107" s="10" t="inlineStr"/>
      <c r="M107" s="10" t="inlineStr"/>
      <c r="N107" s="14" t="inlineStr"/>
      <c r="O107" s="11" t="n"/>
      <c r="P107" s="10" t="inlineStr"/>
      <c r="Q107" s="10" t="inlineStr"/>
      <c r="R107" s="11" t="n"/>
      <c r="S107" s="15" t="n"/>
      <c r="T107" s="9" t="inlineStr"/>
      <c r="U107" s="10" t="inlineStr"/>
      <c r="V107" s="10" t="inlineStr"/>
      <c r="W107" s="10" t="inlineStr"/>
      <c r="X107" s="14" t="inlineStr"/>
      <c r="Y107" s="12" t="inlineStr"/>
      <c r="Z107" s="13" t="inlineStr"/>
      <c r="AA107" s="10" t="inlineStr"/>
      <c r="AB107" s="10" t="inlineStr"/>
      <c r="AC107" s="15" t="n"/>
      <c r="AD107" s="204">
        <f>COUNTIF(E107:AC107,"x")</f>
        <v/>
      </c>
      <c r="AE107" s="205" t="n"/>
      <c r="AF107" s="204" t="inlineStr"/>
      <c r="AG107" s="205" t="n"/>
      <c r="AH107" s="206" t="inlineStr"/>
      <c r="AI107" s="184" t="n"/>
      <c r="AJ107" s="184" t="n"/>
      <c r="AK107" s="184" t="n"/>
      <c r="AL107" s="205" t="n"/>
    </row>
    <row r="108" ht="20.1" customHeight="1" s="51" thickBot="1">
      <c r="A108" s="3" t="n">
        <v>50</v>
      </c>
      <c r="B108" s="201" t="n"/>
      <c r="C108" s="184" t="n"/>
      <c r="D108" s="185" t="n"/>
      <c r="E108" s="16" t="inlineStr">
        <is>
          <t>X</t>
        </is>
      </c>
      <c r="F108" s="17" t="inlineStr">
        <is>
          <t>X</t>
        </is>
      </c>
      <c r="G108" s="17" t="inlineStr">
        <is>
          <t>X</t>
        </is>
      </c>
      <c r="H108" s="17" t="inlineStr">
        <is>
          <t>X</t>
        </is>
      </c>
      <c r="I108" s="18" t="inlineStr">
        <is>
          <t>X</t>
        </is>
      </c>
      <c r="J108" s="16" t="inlineStr">
        <is>
          <t>X</t>
        </is>
      </c>
      <c r="K108" s="17" t="inlineStr">
        <is>
          <t>X</t>
        </is>
      </c>
      <c r="L108" s="17" t="inlineStr">
        <is>
          <t>X</t>
        </is>
      </c>
      <c r="M108" s="17" t="inlineStr">
        <is>
          <t>X</t>
        </is>
      </c>
      <c r="N108" s="18" t="inlineStr">
        <is>
          <t>X</t>
        </is>
      </c>
      <c r="O108" s="19" t="inlineStr">
        <is>
          <t>X</t>
        </is>
      </c>
      <c r="P108" s="17" t="inlineStr">
        <is>
          <t>X</t>
        </is>
      </c>
      <c r="Q108" s="17" t="inlineStr">
        <is>
          <t>X</t>
        </is>
      </c>
      <c r="R108" s="19" t="inlineStr">
        <is>
          <t>X</t>
        </is>
      </c>
      <c r="S108" s="20" t="inlineStr">
        <is>
          <t>X</t>
        </is>
      </c>
      <c r="T108" s="16" t="inlineStr">
        <is>
          <t>X</t>
        </is>
      </c>
      <c r="U108" s="17" t="inlineStr">
        <is>
          <t>X</t>
        </is>
      </c>
      <c r="V108" s="17" t="inlineStr">
        <is>
          <t>X</t>
        </is>
      </c>
      <c r="W108" s="17" t="inlineStr">
        <is>
          <t>X</t>
        </is>
      </c>
      <c r="X108" s="18" t="inlineStr">
        <is>
          <t>X</t>
        </is>
      </c>
      <c r="Y108" s="21" t="inlineStr">
        <is>
          <t>X</t>
        </is>
      </c>
      <c r="Z108" s="22" t="inlineStr">
        <is>
          <t>X</t>
        </is>
      </c>
      <c r="AA108" s="17" t="inlineStr">
        <is>
          <t>X</t>
        </is>
      </c>
      <c r="AB108" s="17" t="inlineStr">
        <is>
          <t>X</t>
        </is>
      </c>
      <c r="AC108" s="20" t="inlineStr">
        <is>
          <t>X</t>
        </is>
      </c>
      <c r="AD108" s="207">
        <f>COUNTIF(E108:AC108,"x")</f>
        <v/>
      </c>
      <c r="AE108" s="208" t="n"/>
      <c r="AF108" s="204" t="inlineStr"/>
      <c r="AG108" s="205" t="n"/>
      <c r="AH108" s="206" t="inlineStr"/>
      <c r="AI108" s="184" t="n"/>
      <c r="AJ108" s="184" t="n"/>
      <c r="AK108" s="184" t="n"/>
      <c r="AL108" s="205" t="n"/>
    </row>
    <row r="109" ht="20.1" customHeight="1" s="51" thickBot="1" thickTop="1">
      <c r="A109" s="4">
        <f>COUNT(A59:A108)</f>
        <v/>
      </c>
      <c r="B109" s="209" t="inlineStr">
        <is>
          <t>&lt;=== FEMALE | TOTAL Per Day ===&gt;</t>
        </is>
      </c>
      <c r="C109" s="210" t="n"/>
      <c r="D109" s="211" t="n"/>
      <c r="E109" s="23">
        <f>IF(COUNTBLANK(E6)," ",COUNTBLANK(E59:E108))</f>
        <v/>
      </c>
      <c r="F109" s="24">
        <f>IF(COUNTBLANK(F6)," ",COUNTBLANK(F59:F108))</f>
        <v/>
      </c>
      <c r="G109" s="24">
        <f>IF(COUNTBLANK(G6)," ",COUNTBLANK(G59:G108))</f>
        <v/>
      </c>
      <c r="H109" s="24">
        <f>IF(COUNTBLANK(H6)," ",COUNTBLANK(H59:H108))</f>
        <v/>
      </c>
      <c r="I109" s="26">
        <f>IF(COUNTBLANK(I6)," ",COUNTBLANK(I59:I108))</f>
        <v/>
      </c>
      <c r="J109" s="27">
        <f>IF(COUNTBLANK(J6)," ",COUNTBLANK(J59:J108))</f>
        <v/>
      </c>
      <c r="K109" s="24">
        <f>IF(COUNTBLANK(K6)," ",COUNTBLANK(K59:K108))</f>
        <v/>
      </c>
      <c r="L109" s="24">
        <f>IF(COUNTBLANK(L6)," ",COUNTBLANK(L59:L108))</f>
        <v/>
      </c>
      <c r="M109" s="24">
        <f>IF(COUNTBLANK(M6)," ",COUNTBLANK(M59:M108))</f>
        <v/>
      </c>
      <c r="N109" s="26">
        <f>IF(COUNTBLANK(N6)," ",COUNTBLANK(N59:N108))</f>
        <v/>
      </c>
      <c r="O109" s="27">
        <f>IF(COUNTBLANK(O6)," ",COUNTBLANK(O59:O108))</f>
        <v/>
      </c>
      <c r="P109" s="24">
        <f>IF(COUNTBLANK(P6)," ",COUNTBLANK(P59:P108))</f>
        <v/>
      </c>
      <c r="Q109" s="24">
        <f>IF(COUNTBLANK(Q6)," ",COUNTBLANK(Q59:Q108))</f>
        <v/>
      </c>
      <c r="R109" s="24">
        <f>IF(COUNTBLANK(R6)," ",COUNTBLANK(R59:R108))</f>
        <v/>
      </c>
      <c r="S109" s="26">
        <f>IF(COUNTBLANK(S6)," ",COUNTBLANK(S59:S108))</f>
        <v/>
      </c>
      <c r="T109" s="27">
        <f>IF(COUNTBLANK(T6)," ",COUNTBLANK(T59:T108))</f>
        <v/>
      </c>
      <c r="U109" s="24">
        <f>IF(COUNTBLANK(U6)," ",COUNTBLANK(U59:U108))</f>
        <v/>
      </c>
      <c r="V109" s="24">
        <f>IF(COUNTBLANK(V6)," ",COUNTBLANK(V59:V108))</f>
        <v/>
      </c>
      <c r="W109" s="24">
        <f>IF(COUNTBLANK(W6)," ",COUNTBLANK(W59:W108))</f>
        <v/>
      </c>
      <c r="X109" s="29">
        <f>IF(COUNTBLANK(X6)," ",COUNTBLANK(X59:X108))</f>
        <v/>
      </c>
      <c r="Y109" s="28">
        <f>IF(COUNTBLANK(Y6)," ",COUNTBLANK(Y59:Y108))</f>
        <v/>
      </c>
      <c r="Z109" s="24">
        <f>IF(COUNTBLANK(Z6)," ",COUNTBLANK(Z59:Z108))</f>
        <v/>
      </c>
      <c r="AA109" s="24">
        <f>IF(COUNTBLANK(AA6)," ",COUNTBLANK(AA59:AA108))</f>
        <v/>
      </c>
      <c r="AB109" s="24">
        <f>IF(COUNTBLANK(AB6)," ",COUNTBLANK(AB59:AB108))</f>
        <v/>
      </c>
      <c r="AC109" s="25">
        <f>IF(COUNTBLANK(AC6)," ",COUNTBLANK(AC59:AC108))</f>
        <v/>
      </c>
      <c r="AD109" s="212">
        <f>SUM(AD59:AE108)</f>
        <v/>
      </c>
      <c r="AE109" s="198" t="n"/>
      <c r="AF109" s="212">
        <f>SUM(AF59:AG108)</f>
        <v/>
      </c>
      <c r="AG109" s="198" t="n"/>
      <c r="AH109" s="207" t="inlineStr"/>
      <c r="AI109" s="213" t="n"/>
      <c r="AJ109" s="213" t="n"/>
      <c r="AK109" s="213" t="n"/>
      <c r="AL109" s="208" t="n"/>
    </row>
    <row r="110" ht="20.1" customHeight="1" s="51" thickBot="1">
      <c r="A110" s="4">
        <f>SUM(A58,A109)</f>
        <v/>
      </c>
      <c r="B110" s="215" t="inlineStr">
        <is>
          <t>Combined TOTAL Per Day</t>
        </is>
      </c>
      <c r="C110" s="213" t="n"/>
      <c r="D110" s="216" t="n"/>
      <c r="E110" s="23">
        <f>SUM(E58,E109)</f>
        <v/>
      </c>
      <c r="F110" s="24">
        <f>SUM(F58,F109)</f>
        <v/>
      </c>
      <c r="G110" s="24">
        <f>SUM(G58,G109)</f>
        <v/>
      </c>
      <c r="H110" s="24">
        <f>SUM(H58,H109)</f>
        <v/>
      </c>
      <c r="I110" s="26">
        <f>SUM(I58,I109)</f>
        <v/>
      </c>
      <c r="J110" s="27">
        <f>SUM(J58,J109)</f>
        <v/>
      </c>
      <c r="K110" s="24">
        <f>SUM(K58,K109)</f>
        <v/>
      </c>
      <c r="L110" s="24">
        <f>SUM(L58,L109)</f>
        <v/>
      </c>
      <c r="M110" s="24">
        <f>SUM(M58,M109)</f>
        <v/>
      </c>
      <c r="N110" s="26">
        <f>SUM(N58,N109)</f>
        <v/>
      </c>
      <c r="O110" s="27">
        <f>SUM(O58,O109)</f>
        <v/>
      </c>
      <c r="P110" s="24">
        <f>SUM(P58,P109)</f>
        <v/>
      </c>
      <c r="Q110" s="24">
        <f>SUM(Q58,Q109)</f>
        <v/>
      </c>
      <c r="R110" s="24">
        <f>SUM(R58,R109)</f>
        <v/>
      </c>
      <c r="S110" s="26">
        <f>SUM(S58,S109)</f>
        <v/>
      </c>
      <c r="T110" s="27">
        <f>SUM(T58,T109)</f>
        <v/>
      </c>
      <c r="U110" s="24">
        <f>SUM(U58,U109)</f>
        <v/>
      </c>
      <c r="V110" s="24">
        <f>SUM(V58,V109)</f>
        <v/>
      </c>
      <c r="W110" s="24">
        <f>SUM(W58,W109)</f>
        <v/>
      </c>
      <c r="X110" s="26">
        <f>SUM(X58,X109)</f>
        <v/>
      </c>
      <c r="Y110" s="27">
        <f>SUM(Y58,Y109)</f>
        <v/>
      </c>
      <c r="Z110" s="24">
        <f>SUM(Z58,Z109)</f>
        <v/>
      </c>
      <c r="AA110" s="24">
        <f>SUM(AA58,AA109)</f>
        <v/>
      </c>
      <c r="AB110" s="24">
        <f>SUM(AB58,AB109)</f>
        <v/>
      </c>
      <c r="AC110" s="25">
        <f>SUM(AC58,AC109)</f>
        <v/>
      </c>
      <c r="AD110" s="207">
        <f>SUM(AD58,AD109)</f>
        <v/>
      </c>
      <c r="AE110" s="208" t="n"/>
      <c r="AF110" s="207">
        <f>SUM(AF58,AF109)</f>
        <v/>
      </c>
      <c r="AG110" s="208" t="n"/>
      <c r="AH110" s="207" t="inlineStr"/>
      <c r="AI110" s="213" t="n"/>
      <c r="AJ110" s="213" t="n"/>
      <c r="AK110" s="213" t="n"/>
      <c r="AL110" s="208" t="n"/>
    </row>
    <row r="111" ht="9.9" customHeight="1" s="51" thickBot="1">
      <c r="A111" s="121" t="inlineStr">
        <is>
          <t>GUIDELINES:</t>
        </is>
      </c>
      <c r="S111" s="1" t="n"/>
      <c r="T111" s="122" t="inlineStr">
        <is>
          <t>1. CODES FOR CHECKING ATTENDANCE</t>
        </is>
      </c>
      <c r="U111" s="217" t="n"/>
      <c r="V111" s="217" t="n"/>
      <c r="W111" s="217" t="n"/>
      <c r="X111" s="217" t="n"/>
      <c r="Y111" s="217" t="n"/>
      <c r="Z111" s="217" t="n"/>
      <c r="AA111" s="217" t="n"/>
      <c r="AB111" s="217" t="n"/>
      <c r="AC111" s="1" t="n"/>
      <c r="AD111" s="41" t="inlineStr">
        <is>
          <t>Month :</t>
        </is>
      </c>
      <c r="AE111" s="218" t="n"/>
      <c r="AF111" s="200" t="n"/>
      <c r="AG111" s="41" t="inlineStr">
        <is>
          <t>No. of Days of Classes:</t>
        </is>
      </c>
      <c r="AH111" s="200" t="n"/>
      <c r="AI111" s="219" t="inlineStr">
        <is>
          <t>Summary</t>
        </is>
      </c>
      <c r="AJ111" s="220" t="n"/>
      <c r="AK111" s="220" t="n"/>
      <c r="AL111" s="203" t="n"/>
    </row>
    <row r="112" ht="9.9" customHeight="1" s="51" thickBot="1">
      <c r="A112" s="127" t="inlineStr">
        <is>
          <t>1. The attendance shall be accomplished daily. Refer to the codes for checking learners' attendance.
2. Dates shall be written in the columns after Learner's Name.
3. To compute the following:</t>
        </is>
      </c>
      <c r="S112" s="1" t="n"/>
      <c r="T112" s="128" t="inlineStr">
        <is>
          <t>(blank) - Present; (x)- Absent; Tardy (half shaded= Upper for Late Commer, Lower for Cutting Classes)</t>
        </is>
      </c>
      <c r="AC112" s="1" t="n"/>
      <c r="AD112" s="41">
        <f>COVER!B6</f>
        <v/>
      </c>
      <c r="AE112" s="218" t="n"/>
      <c r="AF112" s="200" t="n"/>
      <c r="AG112" s="41">
        <f>COUNT(E6:AC6)</f>
        <v/>
      </c>
      <c r="AH112" s="200" t="n"/>
      <c r="AI112" s="2" t="inlineStr">
        <is>
          <t>M</t>
        </is>
      </c>
      <c r="AJ112" s="2" t="inlineStr">
        <is>
          <t>F</t>
        </is>
      </c>
      <c r="AK112" s="221" t="inlineStr">
        <is>
          <t>TOTAL</t>
        </is>
      </c>
      <c r="AL112" s="208" t="n"/>
    </row>
    <row r="113" ht="9.9" customHeight="1" s="51">
      <c r="S113" s="1" t="n"/>
      <c r="T113" s="222" t="n"/>
      <c r="AC113" s="1" t="n"/>
      <c r="AD113" s="223" t="inlineStr">
        <is>
          <t>* Enrolment  as of  (1st Friday of June)</t>
        </is>
      </c>
      <c r="AH113" s="191" t="n"/>
      <c r="AI113" s="224">
        <f>COVER!B10</f>
        <v/>
      </c>
      <c r="AJ113" s="225">
        <f>COVER!C10</f>
        <v/>
      </c>
      <c r="AK113" s="226">
        <f>SUM(AI113:AJ114)</f>
        <v/>
      </c>
      <c r="AL113" s="227" t="n"/>
    </row>
    <row r="114" ht="5.1" customHeight="1" s="51">
      <c r="S114" s="1" t="n"/>
      <c r="T114" s="52" t="inlineStr">
        <is>
          <t>2. REASONS/CAUSES FOR DROPPING OUT</t>
        </is>
      </c>
      <c r="AC114" s="1" t="n"/>
      <c r="AD114" s="228" t="n"/>
      <c r="AE114" s="229" t="n"/>
      <c r="AF114" s="229" t="n"/>
      <c r="AG114" s="229" t="n"/>
      <c r="AH114" s="230" t="n"/>
      <c r="AI114" s="231" t="n"/>
      <c r="AJ114" s="231" t="n"/>
      <c r="AK114" s="232" t="n"/>
      <c r="AL114" s="233" t="n"/>
    </row>
    <row r="115" ht="5.1" customHeight="1" s="51">
      <c r="S115" s="1" t="n"/>
      <c r="T115" s="222" t="n"/>
      <c r="AC115" s="1" t="n"/>
      <c r="AD115" s="234" t="inlineStr">
        <is>
          <t xml:space="preserve">Late enrolment </t>
        </is>
      </c>
      <c r="AF115" s="235" t="n"/>
      <c r="AG115" s="114" t="inlineStr">
        <is>
          <t>during the month</t>
        </is>
      </c>
      <c r="AH115" s="191" t="n"/>
      <c r="AI115" s="225" t="n"/>
      <c r="AJ115" s="225" t="n"/>
      <c r="AK115" s="226">
        <f>SUM(AI115:AJ118)</f>
        <v/>
      </c>
      <c r="AL115" s="227" t="n"/>
    </row>
    <row r="116" ht="8.1" customHeight="1" s="51">
      <c r="A116" s="1" t="n"/>
      <c r="F116" s="96" t="inlineStr">
        <is>
          <t>Registered Learners as of end of the month</t>
        </is>
      </c>
      <c r="P116" s="101" t="inlineStr">
        <is>
          <t>x 100</t>
        </is>
      </c>
      <c r="R116" s="1" t="n"/>
      <c r="S116" s="1" t="n"/>
      <c r="T116" s="52" t="inlineStr">
        <is>
          <t>a. Domestic-Related Factors</t>
        </is>
      </c>
      <c r="AC116" s="1" t="n"/>
      <c r="AD116" s="195" t="n"/>
      <c r="AF116" s="235" t="n"/>
      <c r="AH116" s="191" t="n"/>
      <c r="AI116" s="236" t="n"/>
      <c r="AJ116" s="236" t="n"/>
      <c r="AK116" s="222" t="n"/>
      <c r="AL116" s="193" t="n"/>
    </row>
    <row r="117" ht="2.1" customHeight="1" s="51">
      <c r="A117" s="1" t="n"/>
      <c r="F117" s="229" t="n"/>
      <c r="G117" s="229" t="n"/>
      <c r="H117" s="229" t="n"/>
      <c r="I117" s="229" t="n"/>
      <c r="J117" s="229" t="n"/>
      <c r="K117" s="229" t="n"/>
      <c r="L117" s="229" t="n"/>
      <c r="M117" s="229" t="n"/>
      <c r="N117" s="229" t="n"/>
      <c r="O117" s="229" t="n"/>
      <c r="R117" s="1" t="n"/>
      <c r="S117" s="1" t="n"/>
      <c r="T117" s="222" t="n"/>
      <c r="AC117" s="1" t="n"/>
      <c r="AD117" s="237" t="inlineStr">
        <is>
          <t>(beyond cut-off)</t>
        </is>
      </c>
      <c r="AH117" s="191" t="n"/>
      <c r="AI117" s="236" t="n"/>
      <c r="AJ117" s="236" t="n"/>
      <c r="AK117" s="222" t="n"/>
      <c r="AL117" s="193" t="n"/>
    </row>
    <row r="118" ht="9.9" customHeight="1" s="51">
      <c r="A118" s="1" t="n"/>
      <c r="F118" s="88" t="inlineStr">
        <is>
          <t>Enrolment as of 1st Friday of the school year</t>
        </is>
      </c>
      <c r="R118" s="1" t="n"/>
      <c r="S118" s="1" t="n"/>
      <c r="T118" s="55" t="inlineStr">
        <is>
          <t>a.1. Had to take care of siblings
a.2. Early marriage/pregnancy
a.3. Parents' attitude toward schooling
a.4. Family problems</t>
        </is>
      </c>
      <c r="AC118" s="1" t="n"/>
      <c r="AD118" s="228" t="n"/>
      <c r="AE118" s="229" t="n"/>
      <c r="AF118" s="229" t="n"/>
      <c r="AG118" s="229" t="n"/>
      <c r="AH118" s="230" t="n"/>
      <c r="AI118" s="231" t="n"/>
      <c r="AJ118" s="231" t="n"/>
      <c r="AK118" s="232" t="n"/>
      <c r="AL118" s="233" t="n"/>
    </row>
    <row r="119" ht="9.9" customHeight="1" s="51">
      <c r="A119" s="1" t="n"/>
      <c r="F119" s="96" t="inlineStr">
        <is>
          <t>Total Daily Attendance</t>
        </is>
      </c>
      <c r="G119" s="229" t="n"/>
      <c r="H119" s="229" t="n"/>
      <c r="I119" s="229" t="n"/>
      <c r="J119" s="229" t="n"/>
      <c r="K119" s="229" t="n"/>
      <c r="L119" s="229" t="n"/>
      <c r="M119" s="229" t="n"/>
      <c r="N119" s="229" t="n"/>
      <c r="O119" s="229" t="n"/>
      <c r="P119" s="1" t="n"/>
      <c r="Q119" s="1" t="n"/>
      <c r="R119" s="1" t="n"/>
      <c r="S119" s="1" t="n"/>
      <c r="T119" s="222" t="n"/>
      <c r="AC119" s="1" t="n"/>
      <c r="AD119" s="238" t="inlineStr">
        <is>
          <t>Registered Learners as of</t>
        </is>
      </c>
      <c r="AE119" s="217" t="n"/>
      <c r="AF119" s="217" t="n"/>
      <c r="AG119" s="217" t="n"/>
      <c r="AH119" s="239" t="n"/>
      <c r="AI119" s="37">
        <f>A58</f>
        <v/>
      </c>
      <c r="AJ119" s="37">
        <f>A109</f>
        <v/>
      </c>
      <c r="AK119" s="240">
        <f>SUM(AI119:AJ120)</f>
        <v/>
      </c>
      <c r="AL119" s="227" t="n"/>
    </row>
    <row r="120" ht="9.9" customHeight="1" s="51">
      <c r="A120" s="1" t="n"/>
      <c r="F120" s="95" t="inlineStr">
        <is>
          <t>Number of School Days in reporting month</t>
        </is>
      </c>
      <c r="P120" s="1" t="n"/>
      <c r="Q120" s="1" t="n"/>
      <c r="R120" s="1" t="n"/>
      <c r="S120" s="1" t="n"/>
      <c r="T120" s="222" t="n"/>
      <c r="AC120" s="1" t="n"/>
      <c r="AD120" s="241" t="inlineStr">
        <is>
          <t>end of month</t>
        </is>
      </c>
      <c r="AE120" s="229" t="n"/>
      <c r="AF120" s="229" t="n"/>
      <c r="AG120" s="229" t="n"/>
      <c r="AH120" s="230" t="n"/>
      <c r="AI120" s="231" t="n"/>
      <c r="AJ120" s="231" t="n"/>
      <c r="AK120" s="232" t="n"/>
      <c r="AL120" s="233" t="n"/>
    </row>
    <row r="121" ht="9.9" customHeight="1" s="51">
      <c r="A121" s="1" t="n"/>
      <c r="F121" s="96" t="inlineStr">
        <is>
          <t>Average daily attendance</t>
        </is>
      </c>
      <c r="G121" s="229" t="n"/>
      <c r="H121" s="229" t="n"/>
      <c r="I121" s="229" t="n"/>
      <c r="J121" s="229" t="n"/>
      <c r="K121" s="229" t="n"/>
      <c r="L121" s="229" t="n"/>
      <c r="M121" s="229" t="n"/>
      <c r="N121" s="229" t="n"/>
      <c r="O121" s="229" t="n"/>
      <c r="P121" s="101" t="inlineStr">
        <is>
          <t>x 100</t>
        </is>
      </c>
      <c r="R121" s="1" t="n"/>
      <c r="S121" s="1" t="n"/>
      <c r="T121" s="222" t="n"/>
      <c r="AC121" s="1" t="n"/>
      <c r="AD121" s="238" t="inlineStr">
        <is>
          <t>Percentage of Enrolment as of</t>
        </is>
      </c>
      <c r="AE121" s="217" t="n"/>
      <c r="AF121" s="217" t="n"/>
      <c r="AG121" s="217" t="n"/>
      <c r="AH121" s="239" t="n"/>
      <c r="AI121" s="37">
        <f>IFERROR((AI119/AI113)*100,"")</f>
        <v/>
      </c>
      <c r="AJ121" s="37">
        <f>IFERROR((AJ119/AJ113)*100,"")</f>
        <v/>
      </c>
      <c r="AK121" s="240">
        <f>IFERROR((AK119/AK113)*100,"")</f>
        <v/>
      </c>
      <c r="AL121" s="227" t="n"/>
    </row>
    <row r="122" ht="9.9" customHeight="1" s="51">
      <c r="A122" s="1" t="n"/>
      <c r="F122" s="88" t="inlineStr">
        <is>
          <t>Registered Learners as of end of the month</t>
        </is>
      </c>
      <c r="R122" s="1" t="n"/>
      <c r="S122" s="1" t="n"/>
      <c r="T122" s="52" t="inlineStr">
        <is>
          <t>b. Individual-Related Factors</t>
        </is>
      </c>
      <c r="AC122" s="1" t="n"/>
      <c r="AD122" s="241" t="inlineStr">
        <is>
          <t>end of month</t>
        </is>
      </c>
      <c r="AE122" s="229" t="n"/>
      <c r="AF122" s="229" t="n"/>
      <c r="AG122" s="229" t="n"/>
      <c r="AH122" s="230" t="n"/>
      <c r="AI122" s="231" t="n"/>
      <c r="AJ122" s="231" t="n"/>
      <c r="AK122" s="232" t="n"/>
      <c r="AL122" s="233" t="n"/>
    </row>
    <row r="123" ht="9.9" customHeight="1" s="51">
      <c r="A123" s="1" t="n"/>
      <c r="B123" s="1" t="n"/>
      <c r="C123" s="1" t="n"/>
      <c r="D123" s="1" t="n"/>
      <c r="E123" s="1" t="n"/>
      <c r="F123" s="1" t="n"/>
      <c r="G123" s="1" t="n"/>
      <c r="H123" s="1" t="n"/>
      <c r="I123" s="1" t="n"/>
      <c r="J123" s="1" t="n"/>
      <c r="K123" s="1" t="n"/>
      <c r="L123" s="1" t="n"/>
      <c r="M123" s="1" t="n"/>
      <c r="N123" s="1" t="n"/>
      <c r="O123" s="1" t="n"/>
      <c r="P123" s="1" t="n"/>
      <c r="Q123" s="1" t="n"/>
      <c r="R123" s="1" t="n"/>
      <c r="S123" s="1" t="n"/>
      <c r="T123" s="55" t="inlineStr">
        <is>
          <t>b.1. Illness
b.2. Overage
b.3. Death
b.4. Drug Abuse
b.5. Poor academic performance
b.6. Lack of interest/Distractions
b.7. Hunger/Malnutrition</t>
        </is>
      </c>
      <c r="AC123" s="1" t="n"/>
      <c r="AD123" s="237" t="inlineStr">
        <is>
          <t>Average Daily Attendance</t>
        </is>
      </c>
      <c r="AH123" s="191" t="n"/>
      <c r="AI123" s="37">
        <f>SUM(E58:AC58)/AG112</f>
        <v/>
      </c>
      <c r="AJ123" s="37">
        <f>SUM(E109:AC109)/AG112</f>
        <v/>
      </c>
      <c r="AK123" s="240">
        <f>SUM(E110:AC110)/AG112</f>
        <v/>
      </c>
      <c r="AL123" s="227" t="n"/>
    </row>
    <row r="124" ht="5.1" customHeight="1" s="51">
      <c r="A124" s="80" t="inlineStr">
        <is>
          <t>4. Every end of the month, the class adviser will submit this form to the office of the principal for recording of summary table into School Form 4. Once signed by the principal, this form should be returned to the adviser.
5. The adviser will provide neccessary interventions including but not limited to home visitation to learner/s who were absent for 5 consecutive days and/or those at risk of dropping out.
6.  Attendance performance of learners will be reflected in Form 137 and Form 138 every grading period.</t>
        </is>
      </c>
      <c r="S124" s="1" t="n"/>
      <c r="T124" s="222" t="n"/>
      <c r="AC124" s="1" t="n"/>
      <c r="AD124" s="228" t="n"/>
      <c r="AE124" s="229" t="n"/>
      <c r="AF124" s="229" t="n"/>
      <c r="AG124" s="229" t="n"/>
      <c r="AH124" s="230" t="n"/>
      <c r="AI124" s="231" t="n"/>
      <c r="AJ124" s="231" t="n"/>
      <c r="AK124" s="232" t="n"/>
      <c r="AL124" s="233" t="n"/>
    </row>
    <row r="125" ht="15" customHeight="1" s="51">
      <c r="S125" s="1" t="n"/>
      <c r="T125" s="222" t="n"/>
      <c r="AC125" s="1" t="n"/>
      <c r="AD125" s="237" t="inlineStr">
        <is>
          <t>Percentage of Attendance for the month</t>
        </is>
      </c>
      <c r="AE125" s="229" t="n"/>
      <c r="AF125" s="229" t="n"/>
      <c r="AG125" s="229" t="n"/>
      <c r="AH125" s="230" t="n"/>
      <c r="AI125" s="37">
        <f>(AI123/AI119)*100</f>
        <v/>
      </c>
      <c r="AJ125" s="37">
        <f>(AJ123/AJ119)*100</f>
        <v/>
      </c>
      <c r="AK125" s="240">
        <f>(AK123/AK119)*100</f>
        <v/>
      </c>
      <c r="AL125" s="205" t="n"/>
    </row>
    <row r="126" ht="21" customHeight="1" s="51">
      <c r="S126" s="1" t="n"/>
      <c r="T126" s="222" t="n"/>
      <c r="AC126" s="1" t="n"/>
      <c r="AD126" s="237" t="inlineStr">
        <is>
          <t>Number of students absent for 5 consecutive days</t>
        </is>
      </c>
      <c r="AE126" s="229" t="n"/>
      <c r="AF126" s="229" t="n"/>
      <c r="AG126" s="229" t="n"/>
      <c r="AH126" s="230" t="n"/>
      <c r="AI126" s="37" t="inlineStr"/>
      <c r="AJ126" s="37" t="inlineStr"/>
      <c r="AK126" s="240">
        <f>SUM(AI126:AJ126)</f>
        <v/>
      </c>
      <c r="AL126" s="205" t="n"/>
    </row>
    <row r="127" ht="9" customHeight="1" s="51">
      <c r="S127" s="1" t="n"/>
      <c r="T127" s="222" t="n"/>
      <c r="AC127" s="1" t="n"/>
      <c r="AD127" s="242" t="inlineStr">
        <is>
          <t>Dropped out</t>
        </is>
      </c>
      <c r="AH127" s="191" t="n"/>
      <c r="AI127" s="37" t="inlineStr"/>
      <c r="AJ127" s="37" t="inlineStr"/>
      <c r="AK127" s="240">
        <f>SUM(AI127:AJ128)</f>
        <v/>
      </c>
      <c r="AL127" s="227" t="n"/>
    </row>
    <row r="128" ht="3.9" customHeight="1" s="51">
      <c r="A128" s="1" t="n"/>
      <c r="B128" s="243" t="n"/>
      <c r="C128" s="244" t="n"/>
      <c r="D128" s="244" t="n"/>
      <c r="E128" s="244" t="n"/>
      <c r="F128" s="244" t="n"/>
      <c r="G128" s="244" t="n"/>
      <c r="H128" s="244" t="n"/>
      <c r="I128" s="244" t="n"/>
      <c r="J128" s="244" t="n"/>
      <c r="K128" s="244" t="n"/>
      <c r="L128" s="244" t="n"/>
      <c r="M128" s="244" t="n"/>
      <c r="N128" s="244" t="n"/>
      <c r="O128" s="244" t="n"/>
      <c r="P128" s="244" t="n"/>
      <c r="Q128" s="244" t="n"/>
      <c r="R128" s="244" t="n"/>
      <c r="S128" s="1" t="n"/>
      <c r="T128" s="52" t="inlineStr">
        <is>
          <t>c. School-Related Factors</t>
        </is>
      </c>
      <c r="AC128" s="1" t="n"/>
      <c r="AD128" s="228" t="n"/>
      <c r="AE128" s="229" t="n"/>
      <c r="AF128" s="229" t="n"/>
      <c r="AG128" s="229" t="n"/>
      <c r="AH128" s="230" t="n"/>
      <c r="AI128" s="231" t="n"/>
      <c r="AJ128" s="231" t="n"/>
      <c r="AK128" s="232" t="n"/>
      <c r="AL128" s="233" t="n"/>
    </row>
    <row r="129" ht="6" customHeight="1" s="51">
      <c r="A129" s="1" t="n"/>
      <c r="S129" s="1" t="n"/>
      <c r="T129" s="222" t="n"/>
      <c r="AC129" s="1" t="n"/>
      <c r="AD129" s="242" t="inlineStr">
        <is>
          <t>Transferred out</t>
        </is>
      </c>
      <c r="AH129" s="191" t="n"/>
      <c r="AI129" s="37" t="inlineStr"/>
      <c r="AJ129" s="37" t="inlineStr"/>
      <c r="AK129" s="240">
        <f>SUM(AI129:AJ130)</f>
        <v/>
      </c>
      <c r="AL129" s="227" t="n"/>
    </row>
    <row r="130" ht="6.9" customHeight="1" s="51">
      <c r="A130" s="1" t="n"/>
      <c r="S130" s="1" t="n"/>
      <c r="T130" s="55" t="inlineStr">
        <is>
          <t>c.1. Teacher Factor
c.2. Physical condition of classroom
c.3. Peer influence</t>
        </is>
      </c>
      <c r="AC130" s="1" t="n"/>
      <c r="AD130" s="228" t="n"/>
      <c r="AE130" s="229" t="n"/>
      <c r="AF130" s="229" t="n"/>
      <c r="AG130" s="229" t="n"/>
      <c r="AH130" s="230" t="n"/>
      <c r="AI130" s="231" t="n"/>
      <c r="AJ130" s="231" t="n"/>
      <c r="AK130" s="232" t="n"/>
      <c r="AL130" s="233" t="n"/>
    </row>
    <row r="131" ht="3" customHeight="1" s="51">
      <c r="A131" s="1" t="n"/>
      <c r="B131" s="245" t="n"/>
      <c r="C131" s="245" t="n"/>
      <c r="D131" s="245" t="n"/>
      <c r="E131" s="245" t="n"/>
      <c r="F131" s="245" t="n"/>
      <c r="G131" s="245" t="n"/>
      <c r="H131" s="245" t="n"/>
      <c r="I131" s="245" t="n"/>
      <c r="J131" s="245" t="n"/>
      <c r="K131" s="245" t="n"/>
      <c r="L131" s="245" t="n"/>
      <c r="M131" s="245" t="n"/>
      <c r="N131" s="245" t="n"/>
      <c r="O131" s="245" t="n"/>
      <c r="P131" s="245" t="n"/>
      <c r="Q131" s="245" t="n"/>
      <c r="R131" s="245" t="n"/>
      <c r="S131" s="1" t="n"/>
      <c r="T131" s="222" t="n"/>
      <c r="AC131" s="1" t="n"/>
      <c r="AD131" s="246" t="inlineStr">
        <is>
          <t>Transferred in</t>
        </is>
      </c>
      <c r="AH131" s="191" t="n"/>
      <c r="AI131" s="247" t="inlineStr"/>
      <c r="AJ131" s="247" t="inlineStr"/>
      <c r="AK131" s="248">
        <f>SUM(AI131:AJ132)</f>
        <v/>
      </c>
      <c r="AL131" s="227" t="n"/>
    </row>
    <row r="132" ht="9.9" customHeight="1" s="51" thickBot="1">
      <c r="A132" s="1" t="n"/>
      <c r="B132" s="1" t="n"/>
      <c r="C132" s="1" t="n"/>
      <c r="D132" s="1" t="n"/>
      <c r="E132" s="1" t="n"/>
      <c r="F132" s="1" t="n"/>
      <c r="G132" s="1" t="n"/>
      <c r="H132" s="1" t="n"/>
      <c r="I132" s="1" t="n"/>
      <c r="J132" s="1" t="n"/>
      <c r="K132" s="1" t="n"/>
      <c r="L132" s="1" t="n"/>
      <c r="M132" s="1" t="n"/>
      <c r="N132" s="1" t="n"/>
      <c r="O132" s="1" t="n"/>
      <c r="P132" s="1" t="n"/>
      <c r="Q132" s="1" t="n"/>
      <c r="R132" s="1" t="n"/>
      <c r="S132" s="1" t="n"/>
      <c r="T132" s="222" t="n"/>
      <c r="AC132" s="1" t="n"/>
      <c r="AD132" s="196" t="n"/>
      <c r="AE132" s="197" t="n"/>
      <c r="AF132" s="197" t="n"/>
      <c r="AG132" s="197" t="n"/>
      <c r="AH132" s="249" t="n"/>
      <c r="AI132" s="250" t="n"/>
      <c r="AJ132" s="250" t="n"/>
      <c r="AK132" s="251" t="n"/>
      <c r="AL132" s="198" t="n"/>
    </row>
    <row r="133" ht="9.9" customHeight="1" s="51">
      <c r="A133" s="1" t="n"/>
      <c r="B133" s="1" t="n"/>
      <c r="C133" s="1" t="n"/>
      <c r="D133" s="1" t="n"/>
      <c r="E133" s="1" t="n"/>
      <c r="F133" s="1" t="n"/>
      <c r="G133" s="1" t="n"/>
      <c r="H133" s="1" t="n"/>
      <c r="I133" s="1" t="n"/>
      <c r="J133" s="1" t="n"/>
      <c r="K133" s="1" t="n"/>
      <c r="L133" s="1" t="n"/>
      <c r="M133" s="1" t="n"/>
      <c r="N133" s="1" t="n"/>
      <c r="O133" s="1" t="n"/>
      <c r="P133" s="1" t="n"/>
      <c r="Q133" s="1" t="n"/>
      <c r="R133" s="1" t="n"/>
      <c r="S133" s="1" t="n"/>
      <c r="T133" s="222" t="n"/>
      <c r="AC133" s="1" t="n"/>
      <c r="AD133" s="1" t="n"/>
      <c r="AE133" s="1" t="n"/>
      <c r="AF133" s="1" t="n"/>
      <c r="AG133" s="1" t="n"/>
      <c r="AH133" s="1" t="n"/>
      <c r="AI133" s="1" t="n"/>
      <c r="AJ133" s="1" t="n"/>
      <c r="AK133" s="1" t="n"/>
      <c r="AL133" s="1" t="n"/>
    </row>
    <row r="134" ht="9.9" customHeight="1" s="51">
      <c r="A134" s="1" t="n"/>
      <c r="B134" s="1" t="n"/>
      <c r="C134" s="1" t="n"/>
      <c r="D134" s="1" t="n"/>
      <c r="E134" s="1" t="n"/>
      <c r="F134" s="1" t="n"/>
      <c r="G134" s="1" t="n"/>
      <c r="H134" s="1" t="n"/>
      <c r="I134" s="1" t="n"/>
      <c r="J134" s="1" t="n"/>
      <c r="K134" s="1" t="n"/>
      <c r="L134" s="1" t="n"/>
      <c r="M134" s="1" t="n"/>
      <c r="N134" s="1" t="n"/>
      <c r="O134" s="1" t="n"/>
      <c r="P134" s="1" t="n"/>
      <c r="Q134" s="1" t="n"/>
      <c r="R134" s="1" t="n"/>
      <c r="S134" s="1" t="n"/>
      <c r="T134" s="52" t="inlineStr">
        <is>
          <t>d. Geographic/Environmental</t>
        </is>
      </c>
      <c r="AC134" s="1" t="n"/>
      <c r="AD134" s="54" t="inlineStr">
        <is>
          <t>I certify that this is a true and correct report.</t>
        </is>
      </c>
    </row>
    <row r="135" ht="9.9" customHeight="1" s="51">
      <c r="A135" s="1" t="n"/>
      <c r="B135" s="1" t="n"/>
      <c r="C135" s="1" t="n"/>
      <c r="D135" s="1" t="n"/>
      <c r="E135" s="1" t="n"/>
      <c r="F135" s="1" t="n"/>
      <c r="G135" s="1" t="n"/>
      <c r="H135" s="1" t="n"/>
      <c r="I135" s="1" t="n"/>
      <c r="J135" s="1" t="n"/>
      <c r="K135" s="1" t="n"/>
      <c r="L135" s="1" t="n"/>
      <c r="M135" s="1" t="n"/>
      <c r="N135" s="1" t="n"/>
      <c r="O135" s="1" t="n"/>
      <c r="P135" s="1" t="n"/>
      <c r="Q135" s="1" t="n"/>
      <c r="R135" s="1" t="n"/>
      <c r="S135" s="1" t="n"/>
      <c r="T135" s="55" t="inlineStr">
        <is>
          <t>d.1. Distance between home and school
d.2. Armed conflict (incl. Tribal wars &amp; clanfeuds)
d.3. Calamities/Disasters</t>
        </is>
      </c>
      <c r="AC135" s="1" t="n"/>
    </row>
    <row r="136" ht="20.1" customHeight="1" s="51">
      <c r="A136" s="1" t="n"/>
      <c r="B136" s="1" t="n"/>
      <c r="C136" s="1" t="n"/>
      <c r="D136" s="1" t="n"/>
      <c r="E136" s="1" t="n"/>
      <c r="F136" s="1" t="n"/>
      <c r="G136" s="1" t="n"/>
      <c r="H136" s="1" t="n"/>
      <c r="I136" s="1" t="n"/>
      <c r="J136" s="1" t="n"/>
      <c r="K136" s="1" t="n"/>
      <c r="L136" s="1" t="n"/>
      <c r="M136" s="1" t="n"/>
      <c r="N136" s="1" t="n"/>
      <c r="O136" s="1" t="n"/>
      <c r="P136" s="1" t="n"/>
      <c r="Q136" s="1" t="n"/>
      <c r="R136" s="1" t="n"/>
      <c r="S136" s="1" t="n"/>
      <c r="T136" s="222" t="n"/>
      <c r="AC136" s="1" t="n"/>
      <c r="AD136" s="1" t="n"/>
      <c r="AE136" s="48">
        <f>COVER!B7</f>
        <v/>
      </c>
    </row>
    <row r="137" ht="9.9" customHeight="1" s="51" thickBot="1">
      <c r="A137" s="1" t="n"/>
      <c r="B137" s="1" t="n"/>
      <c r="C137" s="1" t="n"/>
      <c r="D137" s="1" t="n"/>
      <c r="E137" s="1" t="n"/>
      <c r="F137" s="1" t="n"/>
      <c r="G137" s="1" t="n"/>
      <c r="H137" s="1" t="n"/>
      <c r="I137" s="1" t="n"/>
      <c r="J137" s="1" t="n"/>
      <c r="K137" s="1" t="n"/>
      <c r="L137" s="1" t="n"/>
      <c r="M137" s="1" t="n"/>
      <c r="N137" s="1" t="n"/>
      <c r="O137" s="1" t="n"/>
      <c r="P137" s="1" t="n"/>
      <c r="Q137" s="1" t="n"/>
      <c r="R137" s="1" t="n"/>
      <c r="S137" s="1" t="n"/>
      <c r="T137" s="52" t="inlineStr">
        <is>
          <t>e. Financial-Related</t>
        </is>
      </c>
      <c r="AC137" s="1" t="n"/>
      <c r="AD137" s="1" t="n"/>
      <c r="AE137" s="197" t="n"/>
      <c r="AF137" s="197" t="n"/>
      <c r="AG137" s="197" t="n"/>
      <c r="AH137" s="197" t="n"/>
      <c r="AI137" s="197" t="n"/>
      <c r="AJ137" s="197" t="n"/>
      <c r="AK137" s="197" t="n"/>
      <c r="AL137" s="197" t="n"/>
    </row>
    <row r="138" ht="9.9" customHeight="1" s="51">
      <c r="A138" s="1" t="n"/>
      <c r="B138" s="1" t="n"/>
      <c r="C138" s="1" t="n"/>
      <c r="D138" s="1" t="n"/>
      <c r="E138" s="1" t="n"/>
      <c r="F138" s="1" t="n"/>
      <c r="G138" s="1" t="n"/>
      <c r="H138" s="1" t="n"/>
      <c r="I138" s="1" t="n"/>
      <c r="J138" s="1" t="n"/>
      <c r="K138" s="1" t="n"/>
      <c r="L138" s="1" t="n"/>
      <c r="M138" s="1" t="n"/>
      <c r="N138" s="1" t="n"/>
      <c r="O138" s="1" t="n"/>
      <c r="P138" s="1" t="n"/>
      <c r="Q138" s="1" t="n"/>
      <c r="R138" s="1" t="n"/>
      <c r="S138" s="1" t="n"/>
      <c r="T138" s="55" t="inlineStr">
        <is>
          <t>e.1. Child labor, work</t>
        </is>
      </c>
      <c r="AC138" s="1" t="n"/>
      <c r="AD138" s="1" t="n"/>
      <c r="AE138" s="50" t="inlineStr">
        <is>
          <t>(Signature of Adviser over Printed Name)</t>
        </is>
      </c>
    </row>
    <row r="139" ht="9.9" customHeight="1" s="51">
      <c r="A139" s="1" t="n"/>
      <c r="B139" s="1" t="n"/>
      <c r="C139" s="1" t="n"/>
      <c r="D139" s="1" t="n"/>
      <c r="E139" s="1" t="n"/>
      <c r="F139" s="1" t="n"/>
      <c r="G139" s="1" t="n"/>
      <c r="H139" s="1" t="n"/>
      <c r="I139" s="1" t="n"/>
      <c r="J139" s="1" t="n"/>
      <c r="K139" s="1" t="n"/>
      <c r="L139" s="1" t="n"/>
      <c r="M139" s="1" t="n"/>
      <c r="N139" s="1" t="n"/>
      <c r="O139" s="1" t="n"/>
      <c r="P139" s="1" t="n"/>
      <c r="Q139" s="1" t="n"/>
      <c r="R139" s="1" t="n"/>
      <c r="S139" s="1" t="n"/>
      <c r="T139" s="60" t="inlineStr">
        <is>
          <t>f. Others (Specify)</t>
        </is>
      </c>
      <c r="AC139" s="1" t="n"/>
      <c r="AD139" s="1" t="n"/>
    </row>
    <row r="140" ht="11.1" customHeight="1" s="51">
      <c r="A140" s="1" t="n"/>
      <c r="B140" s="1" t="n"/>
      <c r="C140" s="1" t="n"/>
      <c r="D140" s="1" t="n"/>
      <c r="E140" s="1" t="n"/>
      <c r="F140" s="1" t="n"/>
      <c r="G140" s="1" t="n"/>
      <c r="H140" s="1" t="n"/>
      <c r="I140" s="1" t="n"/>
      <c r="J140" s="1" t="n"/>
      <c r="K140" s="1" t="n"/>
      <c r="L140" s="1" t="n"/>
      <c r="M140" s="1" t="n"/>
      <c r="N140" s="1" t="n"/>
      <c r="O140" s="1" t="n"/>
      <c r="P140" s="1" t="n"/>
      <c r="Q140" s="1" t="n"/>
      <c r="R140" s="1" t="n"/>
      <c r="S140" s="1" t="n"/>
      <c r="T140" s="232" t="n"/>
      <c r="U140" s="229" t="n"/>
      <c r="V140" s="229" t="n"/>
      <c r="W140" s="229" t="n"/>
      <c r="X140" s="229" t="n"/>
      <c r="Y140" s="229" t="n"/>
      <c r="Z140" s="229" t="n"/>
      <c r="AA140" s="229" t="n"/>
      <c r="AB140" s="229" t="n"/>
      <c r="AC140" s="1" t="n"/>
      <c r="AD140" s="54" t="inlineStr">
        <is>
          <t>Attested by:</t>
        </is>
      </c>
    </row>
    <row r="141" ht="9" customHeight="1" s="5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row>
    <row r="142" ht="23.1" customHeight="1" s="51" thickBo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48">
        <f>COVER!B8</f>
        <v/>
      </c>
      <c r="AF142" s="197" t="n"/>
      <c r="AG142" s="197" t="n"/>
      <c r="AH142" s="197" t="n"/>
      <c r="AI142" s="197" t="n"/>
      <c r="AJ142" s="197" t="n"/>
      <c r="AK142" s="197" t="n"/>
      <c r="AL142" s="1" t="n"/>
    </row>
    <row r="143" ht="9.9" customHeight="1" s="51">
      <c r="A143" s="1" t="n"/>
      <c r="B143" s="1" t="n"/>
      <c r="C143" s="1" t="n"/>
      <c r="D143" s="1" t="n"/>
      <c r="E143" s="1" t="n"/>
      <c r="F143" s="1" t="n"/>
      <c r="G143" s="1" t="n"/>
      <c r="H143" s="1" t="n"/>
      <c r="I143" s="1" t="n"/>
      <c r="J143" s="1" t="n"/>
      <c r="K143" s="1" t="n"/>
      <c r="L143" s="1" t="n"/>
      <c r="M143" s="1" t="n"/>
      <c r="N143" s="1" t="n"/>
      <c r="O143" s="1" t="n"/>
      <c r="P143" s="1" t="n"/>
      <c r="Q143" s="1" t="n"/>
      <c r="R143" s="1" t="n"/>
      <c r="S143" s="1" t="n"/>
      <c r="T143" s="49" t="inlineStr">
        <is>
          <t>Generated thru LIS</t>
        </is>
      </c>
      <c r="U143" s="188" t="n"/>
      <c r="V143" s="188" t="n"/>
      <c r="W143" s="188" t="n"/>
      <c r="X143" s="188" t="n"/>
      <c r="Y143" s="188" t="n"/>
      <c r="Z143" s="188" t="n"/>
      <c r="AA143" s="188" t="n"/>
      <c r="AB143" s="188" t="n"/>
      <c r="AC143" s="1" t="n"/>
      <c r="AD143" s="1" t="n"/>
      <c r="AE143" s="50" t="inlineStr">
        <is>
          <t>(Signature of School Head over Printed Name)</t>
        </is>
      </c>
    </row>
  </sheetData>
  <mergeCells count="515">
    <mergeCell ref="AH65:AL65"/>
    <mergeCell ref="B60:D60"/>
    <mergeCell ref="AA4:AC4"/>
    <mergeCell ref="B53:D53"/>
    <mergeCell ref="AF101:AG101"/>
    <mergeCell ref="AD113:AH114"/>
    <mergeCell ref="AD109:AE109"/>
    <mergeCell ref="B84:D84"/>
    <mergeCell ref="AD46:AE46"/>
    <mergeCell ref="AD40:AE40"/>
    <mergeCell ref="B80:D80"/>
    <mergeCell ref="AH34:AL34"/>
    <mergeCell ref="AF15:AG15"/>
    <mergeCell ref="AF12:AG12"/>
    <mergeCell ref="AD104:AE104"/>
    <mergeCell ref="AF104:AG104"/>
    <mergeCell ref="AH49:AL49"/>
    <mergeCell ref="AH36:AL36"/>
    <mergeCell ref="AF79:AG79"/>
    <mergeCell ref="AF106:AG106"/>
    <mergeCell ref="AD81:AE81"/>
    <mergeCell ref="AF81:AG81"/>
    <mergeCell ref="T137:AB137"/>
    <mergeCell ref="AH80:AL80"/>
    <mergeCell ref="AI119:AI120"/>
    <mergeCell ref="B8:D8"/>
    <mergeCell ref="B73:D73"/>
    <mergeCell ref="AH62:AL62"/>
    <mergeCell ref="T123:AB127"/>
    <mergeCell ref="AD35:AE35"/>
    <mergeCell ref="B10:D10"/>
    <mergeCell ref="AD59:AE59"/>
    <mergeCell ref="B99:D99"/>
    <mergeCell ref="AD34:AE34"/>
    <mergeCell ref="AF63:AG63"/>
    <mergeCell ref="AD28:AE28"/>
    <mergeCell ref="AD99:AE99"/>
    <mergeCell ref="B74:D74"/>
    <mergeCell ref="B68:D68"/>
    <mergeCell ref="A4:C4"/>
    <mergeCell ref="AD36:AE36"/>
    <mergeCell ref="AD30:AE30"/>
    <mergeCell ref="AF92:AG92"/>
    <mergeCell ref="AD101:AE101"/>
    <mergeCell ref="AF30:AG30"/>
    <mergeCell ref="B76:D76"/>
    <mergeCell ref="F118:O118"/>
    <mergeCell ref="T118:AB121"/>
    <mergeCell ref="AF94:AG94"/>
    <mergeCell ref="AD61:AE61"/>
    <mergeCell ref="AD123:AH124"/>
    <mergeCell ref="AH26:AL26"/>
    <mergeCell ref="AF31:AG31"/>
    <mergeCell ref="A124:R127"/>
    <mergeCell ref="AH109:AL109"/>
    <mergeCell ref="T122:AB122"/>
    <mergeCell ref="B21:D21"/>
    <mergeCell ref="AH57:AL57"/>
    <mergeCell ref="AH84:AL84"/>
    <mergeCell ref="AD62:AE62"/>
    <mergeCell ref="AD56:AE56"/>
    <mergeCell ref="F121:O121"/>
    <mergeCell ref="AF56:AG56"/>
    <mergeCell ref="AF105:AG105"/>
    <mergeCell ref="AK113:AL114"/>
    <mergeCell ref="B23:D23"/>
    <mergeCell ref="AH86:AL86"/>
    <mergeCell ref="AD64:AE64"/>
    <mergeCell ref="B87:D87"/>
    <mergeCell ref="AH52:AL52"/>
    <mergeCell ref="T138:AB138"/>
    <mergeCell ref="P121:Q122"/>
    <mergeCell ref="AD119:AH119"/>
    <mergeCell ref="B51:D51"/>
    <mergeCell ref="AD49:AE49"/>
    <mergeCell ref="AI127:AI128"/>
    <mergeCell ref="AD11:AE11"/>
    <mergeCell ref="AF8:AG8"/>
    <mergeCell ref="AH70:AL70"/>
    <mergeCell ref="AD100:AE100"/>
    <mergeCell ref="AD75:AE75"/>
    <mergeCell ref="AF100:AG100"/>
    <mergeCell ref="AF75:AG75"/>
    <mergeCell ref="AD50:AE50"/>
    <mergeCell ref="AH99:AL99"/>
    <mergeCell ref="AD102:AE102"/>
    <mergeCell ref="B77:D77"/>
    <mergeCell ref="AF102:AG102"/>
    <mergeCell ref="AD52:AE52"/>
    <mergeCell ref="AJ115:AJ118"/>
    <mergeCell ref="AD39:AE39"/>
    <mergeCell ref="AF39:AG39"/>
    <mergeCell ref="AH101:AL101"/>
    <mergeCell ref="AE143:AL143"/>
    <mergeCell ref="B29:D29"/>
    <mergeCell ref="AF97:AG97"/>
    <mergeCell ref="AE142:AK142"/>
    <mergeCell ref="AH83:AL83"/>
    <mergeCell ref="B24:D24"/>
    <mergeCell ref="B95:D95"/>
    <mergeCell ref="B89:D89"/>
    <mergeCell ref="AD70:AE70"/>
    <mergeCell ref="AF21:AG21"/>
    <mergeCell ref="AD57:AE57"/>
    <mergeCell ref="B32:D32"/>
    <mergeCell ref="B26:D26"/>
    <mergeCell ref="B97:D97"/>
    <mergeCell ref="AF23:AG23"/>
    <mergeCell ref="AF50:AG50"/>
    <mergeCell ref="B90:D90"/>
    <mergeCell ref="B27:D27"/>
    <mergeCell ref="AF52:AG52"/>
    <mergeCell ref="AF27:AG27"/>
    <mergeCell ref="AD122:AH122"/>
    <mergeCell ref="AH13:AL13"/>
    <mergeCell ref="T143:AB143"/>
    <mergeCell ref="B42:D42"/>
    <mergeCell ref="AF18:AG18"/>
    <mergeCell ref="AH105:AL105"/>
    <mergeCell ref="AD83:AE83"/>
    <mergeCell ref="B121:E122"/>
    <mergeCell ref="AK129:AL130"/>
    <mergeCell ref="AH71:AL71"/>
    <mergeCell ref="B44:D44"/>
    <mergeCell ref="AF49:AG49"/>
    <mergeCell ref="AD110:AE110"/>
    <mergeCell ref="AH8:AL8"/>
    <mergeCell ref="AI129:AI130"/>
    <mergeCell ref="AD60:AE60"/>
    <mergeCell ref="B37:D37"/>
    <mergeCell ref="B108:D108"/>
    <mergeCell ref="AH73:AL73"/>
    <mergeCell ref="AH100:AL100"/>
    <mergeCell ref="AD103:AE103"/>
    <mergeCell ref="AF103:AG103"/>
    <mergeCell ref="AH10:AL10"/>
    <mergeCell ref="AE138:AL139"/>
    <mergeCell ref="AH102:AL102"/>
    <mergeCell ref="B20:D20"/>
    <mergeCell ref="AF55:AG55"/>
    <mergeCell ref="AH39:AL39"/>
    <mergeCell ref="AI115:AI118"/>
    <mergeCell ref="A2:AL2"/>
    <mergeCell ref="AF40:AG40"/>
    <mergeCell ref="AD7:AE7"/>
    <mergeCell ref="B96:D96"/>
    <mergeCell ref="AD71:AE71"/>
    <mergeCell ref="AH28:AL28"/>
    <mergeCell ref="AF71:AG71"/>
    <mergeCell ref="AD58:AE58"/>
    <mergeCell ref="B98:D98"/>
    <mergeCell ref="AD8:AE8"/>
    <mergeCell ref="AF37:AG37"/>
    <mergeCell ref="AH21:AL21"/>
    <mergeCell ref="AD73:AE73"/>
    <mergeCell ref="AF24:AG24"/>
    <mergeCell ref="AK125:AL125"/>
    <mergeCell ref="AF73:AG73"/>
    <mergeCell ref="A3:C3"/>
    <mergeCell ref="AK112:AL112"/>
    <mergeCell ref="AK119:AL120"/>
    <mergeCell ref="AH23:AL23"/>
    <mergeCell ref="AF66:AG66"/>
    <mergeCell ref="AF53:AG53"/>
    <mergeCell ref="T116:AB117"/>
    <mergeCell ref="AF68:AG68"/>
    <mergeCell ref="AD84:AE84"/>
    <mergeCell ref="B45:D45"/>
    <mergeCell ref="AI131:AI132"/>
    <mergeCell ref="AD86:AE86"/>
    <mergeCell ref="E5:AC5"/>
    <mergeCell ref="AF42:AG42"/>
    <mergeCell ref="U4:Z4"/>
    <mergeCell ref="A111:R111"/>
    <mergeCell ref="B109:D109"/>
    <mergeCell ref="B47:D47"/>
    <mergeCell ref="AH110:AL110"/>
    <mergeCell ref="B59:D59"/>
    <mergeCell ref="B46:D46"/>
    <mergeCell ref="AH16:AL16"/>
    <mergeCell ref="B48:D48"/>
    <mergeCell ref="AJ129:AJ130"/>
    <mergeCell ref="AD48:AE48"/>
    <mergeCell ref="AJ123:AJ124"/>
    <mergeCell ref="AF48:AG48"/>
    <mergeCell ref="AD33:AE33"/>
    <mergeCell ref="AJ131:AJ132"/>
    <mergeCell ref="AD79:AE79"/>
    <mergeCell ref="AH92:AL92"/>
    <mergeCell ref="AH42:AL42"/>
    <mergeCell ref="AD10:AE10"/>
    <mergeCell ref="AH29:AL29"/>
    <mergeCell ref="AF10:AG10"/>
    <mergeCell ref="AH5:AL7"/>
    <mergeCell ref="AH44:AL44"/>
    <mergeCell ref="AD74:AE74"/>
    <mergeCell ref="AH31:AL31"/>
    <mergeCell ref="AF74:AG74"/>
    <mergeCell ref="AH58:AL58"/>
    <mergeCell ref="B41:D41"/>
    <mergeCell ref="B35:D35"/>
    <mergeCell ref="T111:AB111"/>
    <mergeCell ref="AD76:AE76"/>
    <mergeCell ref="AJ113:AJ114"/>
    <mergeCell ref="AF76:AG76"/>
    <mergeCell ref="AH60:AL60"/>
    <mergeCell ref="B66:D66"/>
    <mergeCell ref="AD21:AE21"/>
    <mergeCell ref="AD92:AE92"/>
    <mergeCell ref="B67:D67"/>
    <mergeCell ref="AJ119:AJ120"/>
    <mergeCell ref="B61:D61"/>
    <mergeCell ref="AD29:AE29"/>
    <mergeCell ref="AD23:AE23"/>
    <mergeCell ref="AD94:AE94"/>
    <mergeCell ref="B69:D69"/>
    <mergeCell ref="AH17:AL17"/>
    <mergeCell ref="AH53:AL53"/>
    <mergeCell ref="AF87:AG87"/>
    <mergeCell ref="A1:AL1"/>
    <mergeCell ref="AH19:AL19"/>
    <mergeCell ref="AH55:AL55"/>
    <mergeCell ref="AD89:AE89"/>
    <mergeCell ref="B64:D64"/>
    <mergeCell ref="AF89:AG89"/>
    <mergeCell ref="AD105:AE105"/>
    <mergeCell ref="AF64:AG64"/>
    <mergeCell ref="T139:AB140"/>
    <mergeCell ref="AH48:AL48"/>
    <mergeCell ref="AF51:AG51"/>
    <mergeCell ref="AD117:AH118"/>
    <mergeCell ref="AG115:AH116"/>
    <mergeCell ref="B16:D16"/>
    <mergeCell ref="AH108:AL108"/>
    <mergeCell ref="AH79:AL79"/>
    <mergeCell ref="AH45:AL45"/>
    <mergeCell ref="B18:D18"/>
    <mergeCell ref="AH32:AL32"/>
    <mergeCell ref="F116:O117"/>
    <mergeCell ref="AH81:AL81"/>
    <mergeCell ref="AJ121:AJ122"/>
    <mergeCell ref="AD42:AE42"/>
    <mergeCell ref="B11:D11"/>
    <mergeCell ref="AH47:AL47"/>
    <mergeCell ref="AD17:AE17"/>
    <mergeCell ref="AH74:AL74"/>
    <mergeCell ref="AF77:AG77"/>
    <mergeCell ref="B57:D57"/>
    <mergeCell ref="AF33:AG33"/>
    <mergeCell ref="AD115:AF116"/>
    <mergeCell ref="AD134:AL135"/>
    <mergeCell ref="AH76:AL76"/>
    <mergeCell ref="U3:Z3"/>
    <mergeCell ref="AG111:AH111"/>
    <mergeCell ref="AI113:AI114"/>
    <mergeCell ref="AH63:AL63"/>
    <mergeCell ref="H3:J3"/>
    <mergeCell ref="AD31:AE31"/>
    <mergeCell ref="AH50:AL50"/>
    <mergeCell ref="AD108:AE108"/>
    <mergeCell ref="AF59:AG59"/>
    <mergeCell ref="AD95:AE95"/>
    <mergeCell ref="AF95:AG95"/>
    <mergeCell ref="AH27:AL27"/>
    <mergeCell ref="B62:D62"/>
    <mergeCell ref="AD32:AE32"/>
    <mergeCell ref="AF32:AG32"/>
    <mergeCell ref="AF88:AG88"/>
    <mergeCell ref="AH94:AL94"/>
    <mergeCell ref="AD26:AE26"/>
    <mergeCell ref="AF26:AG26"/>
    <mergeCell ref="B72:D72"/>
    <mergeCell ref="AD97:AE97"/>
    <mergeCell ref="AD111:AF111"/>
    <mergeCell ref="AH69:AL69"/>
    <mergeCell ref="AD125:AH125"/>
    <mergeCell ref="AF90:AG90"/>
    <mergeCell ref="B70:D70"/>
    <mergeCell ref="AH22:AL22"/>
    <mergeCell ref="AK126:AL126"/>
    <mergeCell ref="AH89:AL89"/>
    <mergeCell ref="A112:R115"/>
    <mergeCell ref="B17:D17"/>
    <mergeCell ref="B88:D88"/>
    <mergeCell ref="A5:A7"/>
    <mergeCell ref="B82:D82"/>
    <mergeCell ref="AD63:AE63"/>
    <mergeCell ref="T130:AB133"/>
    <mergeCell ref="AD44:AE44"/>
    <mergeCell ref="B19:D19"/>
    <mergeCell ref="AH38:AL38"/>
    <mergeCell ref="F119:O119"/>
    <mergeCell ref="AF16:AG16"/>
    <mergeCell ref="B83:D83"/>
    <mergeCell ref="AF108:AG108"/>
    <mergeCell ref="AH40:AL40"/>
    <mergeCell ref="AF9:AG9"/>
    <mergeCell ref="AD45:AE45"/>
    <mergeCell ref="AF45:AG45"/>
    <mergeCell ref="B110:D110"/>
    <mergeCell ref="B85:D85"/>
    <mergeCell ref="AF20:AG20"/>
    <mergeCell ref="P116:Q118"/>
    <mergeCell ref="AD120:AH120"/>
    <mergeCell ref="AF14:AG14"/>
    <mergeCell ref="AF11:AG11"/>
    <mergeCell ref="AI121:AI122"/>
    <mergeCell ref="AD22:AE22"/>
    <mergeCell ref="B116:E118"/>
    <mergeCell ref="AI123:AI124"/>
    <mergeCell ref="AD47:AE47"/>
    <mergeCell ref="AH66:AL66"/>
    <mergeCell ref="AD96:AE96"/>
    <mergeCell ref="AF96:AG96"/>
    <mergeCell ref="B14:D14"/>
    <mergeCell ref="AD38:AE38"/>
    <mergeCell ref="AH95:AL95"/>
    <mergeCell ref="B13:D13"/>
    <mergeCell ref="AD98:AE98"/>
    <mergeCell ref="AF98:AG98"/>
    <mergeCell ref="B78:D78"/>
    <mergeCell ref="AH97:AL97"/>
    <mergeCell ref="AH72:AL72"/>
    <mergeCell ref="AF93:AG93"/>
    <mergeCell ref="AG112:AH112"/>
    <mergeCell ref="B91:D91"/>
    <mergeCell ref="B25:D25"/>
    <mergeCell ref="AD66:AE66"/>
    <mergeCell ref="AF17:AG17"/>
    <mergeCell ref="AD53:AE53"/>
    <mergeCell ref="AF109:AG109"/>
    <mergeCell ref="B22:D22"/>
    <mergeCell ref="AF47:AG47"/>
    <mergeCell ref="B93:D93"/>
    <mergeCell ref="AH54:AL54"/>
    <mergeCell ref="AH41:AL41"/>
    <mergeCell ref="AF84:AG84"/>
    <mergeCell ref="AH90:AL90"/>
    <mergeCell ref="F122:O122"/>
    <mergeCell ref="AF22:AG22"/>
    <mergeCell ref="AF19:AG19"/>
    <mergeCell ref="AF46:AG46"/>
    <mergeCell ref="AD55:AE55"/>
    <mergeCell ref="B86:D86"/>
    <mergeCell ref="AH56:AL56"/>
    <mergeCell ref="AD5:AG6"/>
    <mergeCell ref="AD121:AH121"/>
    <mergeCell ref="AF86:AG86"/>
    <mergeCell ref="AF61:AG61"/>
    <mergeCell ref="B101:D101"/>
    <mergeCell ref="O4:T4"/>
    <mergeCell ref="AH85:AL85"/>
    <mergeCell ref="B38:D38"/>
    <mergeCell ref="AI111:AL111"/>
    <mergeCell ref="AH67:AL67"/>
    <mergeCell ref="B40:D40"/>
    <mergeCell ref="AH103:AL103"/>
    <mergeCell ref="B15:D15"/>
    <mergeCell ref="B119:E120"/>
    <mergeCell ref="B33:D33"/>
    <mergeCell ref="AH9:AL9"/>
    <mergeCell ref="B104:D104"/>
    <mergeCell ref="AH96:AL96"/>
    <mergeCell ref="AD112:AF112"/>
    <mergeCell ref="B79:D79"/>
    <mergeCell ref="AD54:AE54"/>
    <mergeCell ref="AH11:AL11"/>
    <mergeCell ref="B106:D106"/>
    <mergeCell ref="AD41:AE41"/>
    <mergeCell ref="AD140:AL141"/>
    <mergeCell ref="AH98:AL98"/>
    <mergeCell ref="AF41:AG41"/>
    <mergeCell ref="AF35:AG35"/>
    <mergeCell ref="B81:D81"/>
    <mergeCell ref="AK127:AL128"/>
    <mergeCell ref="AF7:AG7"/>
    <mergeCell ref="AD43:AE43"/>
    <mergeCell ref="AF99:AG99"/>
    <mergeCell ref="AF36:AG36"/>
    <mergeCell ref="AD68:AE68"/>
    <mergeCell ref="AH87:AL87"/>
    <mergeCell ref="AD67:AE67"/>
    <mergeCell ref="AD129:AH130"/>
    <mergeCell ref="AH24:AL24"/>
    <mergeCell ref="AF67:AG67"/>
    <mergeCell ref="AH18:AL18"/>
    <mergeCell ref="B34:D34"/>
    <mergeCell ref="B28:D28"/>
    <mergeCell ref="AH91:AL91"/>
    <mergeCell ref="AD69:AE69"/>
    <mergeCell ref="AD131:AH132"/>
    <mergeCell ref="AD25:AE25"/>
    <mergeCell ref="AH82:AL82"/>
    <mergeCell ref="AF69:AG69"/>
    <mergeCell ref="AF25:AG25"/>
    <mergeCell ref="B92:D92"/>
    <mergeCell ref="B30:D30"/>
    <mergeCell ref="AH93:AL93"/>
    <mergeCell ref="AF62:AG62"/>
    <mergeCell ref="T112:AB113"/>
    <mergeCell ref="B94:D94"/>
    <mergeCell ref="B5:D7"/>
    <mergeCell ref="T114:AB115"/>
    <mergeCell ref="B54:D54"/>
    <mergeCell ref="AD126:AH126"/>
    <mergeCell ref="AD16:AE16"/>
    <mergeCell ref="AD87:AE87"/>
    <mergeCell ref="AF38:AG38"/>
    <mergeCell ref="B56:D56"/>
    <mergeCell ref="B105:D105"/>
    <mergeCell ref="AF13:AG13"/>
    <mergeCell ref="B43:D43"/>
    <mergeCell ref="AH75:AL75"/>
    <mergeCell ref="AD18:AE18"/>
    <mergeCell ref="AH37:AL37"/>
    <mergeCell ref="AF43:AG43"/>
    <mergeCell ref="AH12:AL12"/>
    <mergeCell ref="B107:D107"/>
    <mergeCell ref="AD51:AE51"/>
    <mergeCell ref="AD107:AE107"/>
    <mergeCell ref="AD82:AE82"/>
    <mergeCell ref="AH104:AL104"/>
    <mergeCell ref="AF107:AG107"/>
    <mergeCell ref="AF82:AG82"/>
    <mergeCell ref="AF57:AG57"/>
    <mergeCell ref="AH14:AL14"/>
    <mergeCell ref="AH106:AL106"/>
    <mergeCell ref="B9:D9"/>
    <mergeCell ref="AH43:AL43"/>
    <mergeCell ref="AH88:AL88"/>
    <mergeCell ref="B36:D36"/>
    <mergeCell ref="AD77:AE77"/>
    <mergeCell ref="AH68:AL68"/>
    <mergeCell ref="AD4:AL4"/>
    <mergeCell ref="B100:D100"/>
    <mergeCell ref="B75:D75"/>
    <mergeCell ref="O3:T3"/>
    <mergeCell ref="AK121:AL122"/>
    <mergeCell ref="B31:D31"/>
    <mergeCell ref="B102:D102"/>
    <mergeCell ref="AD72:AE72"/>
    <mergeCell ref="AH25:AL25"/>
    <mergeCell ref="AF72:AG72"/>
    <mergeCell ref="AF28:AG28"/>
    <mergeCell ref="B39:D39"/>
    <mergeCell ref="AK123:AL124"/>
    <mergeCell ref="AF70:AG70"/>
    <mergeCell ref="AD24:AE24"/>
    <mergeCell ref="AD88:AE88"/>
    <mergeCell ref="K3:N3"/>
    <mergeCell ref="AH20:AL20"/>
    <mergeCell ref="B49:D49"/>
    <mergeCell ref="AF54:AG54"/>
    <mergeCell ref="AD19:AE19"/>
    <mergeCell ref="AD90:AE90"/>
    <mergeCell ref="AK115:AL118"/>
    <mergeCell ref="B65:D65"/>
    <mergeCell ref="AD65:AE65"/>
    <mergeCell ref="AH78:AL78"/>
    <mergeCell ref="AD27:AE27"/>
    <mergeCell ref="AF83:AG83"/>
    <mergeCell ref="B63:D63"/>
    <mergeCell ref="E4:N4"/>
    <mergeCell ref="AF58:AG58"/>
    <mergeCell ref="AH15:AL15"/>
    <mergeCell ref="B50:D50"/>
    <mergeCell ref="AH64:AL64"/>
    <mergeCell ref="AH51:AL51"/>
    <mergeCell ref="AH107:AL107"/>
    <mergeCell ref="AD85:AE85"/>
    <mergeCell ref="AF110:AG110"/>
    <mergeCell ref="AF85:AG85"/>
    <mergeCell ref="AH30:AL30"/>
    <mergeCell ref="AF60:AG60"/>
    <mergeCell ref="T135:AB136"/>
    <mergeCell ref="AJ127:AJ128"/>
    <mergeCell ref="T134:AB134"/>
    <mergeCell ref="T128:AB129"/>
    <mergeCell ref="AD37:AE37"/>
    <mergeCell ref="B12:D12"/>
    <mergeCell ref="AD12:AE12"/>
    <mergeCell ref="AD9:AE9"/>
    <mergeCell ref="AF34:AG34"/>
    <mergeCell ref="AD20:AE20"/>
    <mergeCell ref="AH77:AL77"/>
    <mergeCell ref="AD14:AE14"/>
    <mergeCell ref="AH33:AL33"/>
    <mergeCell ref="B103:D103"/>
    <mergeCell ref="AK131:AL132"/>
    <mergeCell ref="F120:O120"/>
    <mergeCell ref="AD13:AE13"/>
    <mergeCell ref="B128:R131"/>
    <mergeCell ref="AE136:AL137"/>
    <mergeCell ref="AD78:AE78"/>
    <mergeCell ref="AF29:AG29"/>
    <mergeCell ref="AH35:AL35"/>
    <mergeCell ref="AF78:AG78"/>
    <mergeCell ref="AF65:AG65"/>
    <mergeCell ref="AD15:AE15"/>
    <mergeCell ref="AF44:AG44"/>
    <mergeCell ref="AD80:AE80"/>
    <mergeCell ref="B55:D55"/>
    <mergeCell ref="AF80:AG80"/>
    <mergeCell ref="AD127:AH128"/>
    <mergeCell ref="AH59:AL59"/>
    <mergeCell ref="AH46:AL46"/>
    <mergeCell ref="E3:G3"/>
    <mergeCell ref="AH61:AL61"/>
    <mergeCell ref="AD91:AE91"/>
    <mergeCell ref="AF91:AG91"/>
    <mergeCell ref="B71:D71"/>
    <mergeCell ref="B58:D58"/>
    <mergeCell ref="B52:D52"/>
    <mergeCell ref="AD106:AE106"/>
    <mergeCell ref="AD93:AE93"/>
  </mergeCells>
  <pageMargins left="0.2777777777777778" right="0.2777777777777778" top="0.2777777777777778" bottom="0.2777777777777778" header="0" footer="0"/>
  <pageSetup orientation="landscape" paperSize="9" fitToHeight="0" fitToWidth="0" firstPageNumber="0" pageOrder="overThenDown" horizontalDpi="300" verticalDpi="300"/>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2026-09-01T00:00:00Z</dcterms:created>
  <dcterms:modified xsi:type="dcterms:W3CDTF">2026-09-01T00:00:00Z</dcterms:modified>
  <cp:lastPrinted>2019-09-01T11:06:29Z</cp:lastPrinted>
</cp:coreProperties>
</file>