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DATA" sheetId="1" r:id="rId4"/>
    <sheet state="visible" name="TERM 1" sheetId="2" r:id="rId5"/>
    <sheet state="visible" name="TERM 2" sheetId="3" r:id="rId6"/>
    <sheet state="visible" name="TERM 3" sheetId="4" r:id="rId7"/>
    <sheet state="visible" name="FINAL GRADES" sheetId="5" r:id="rId8"/>
    <sheet state="visible" name="HELPER" sheetId="6" r:id="rId9"/>
  </sheets>
  <definedNames/>
  <calcPr/>
  <extLst>
    <ext uri="GoogleSheetsCustomDataVersion2">
      <go:sheetsCustomData xmlns:go="http://customooxmlschemas.google.com/" r:id="rId10" roundtripDataChecksum="aeh1m9G9wQrcWlZdVl3dBNODCXdhc6mR5u6J1EJ98n0="/>
    </ext>
  </extLst>
</workbook>
</file>

<file path=xl/sharedStrings.xml><?xml version="1.0" encoding="utf-8"?>
<sst xmlns="http://schemas.openxmlformats.org/spreadsheetml/2006/main" count="210" uniqueCount="67">
  <si>
    <t>Input Data Sheet for Electronic-Class Record (ECR)</t>
  </si>
  <si>
    <t>CLASS RECORD</t>
  </si>
  <si>
    <t>SCHOOL INFORMATION</t>
  </si>
  <si>
    <t>LEARNERS' NAMES</t>
  </si>
  <si>
    <t>REGION</t>
  </si>
  <si>
    <t>:</t>
  </si>
  <si>
    <t>MALE</t>
  </si>
  <si>
    <t>FEMALE</t>
  </si>
  <si>
    <t>DIVISION</t>
  </si>
  <si>
    <t>SCHOOL ID</t>
  </si>
  <si>
    <t>SCHOOL NAME</t>
  </si>
  <si>
    <t>SCHOOL YEAR</t>
  </si>
  <si>
    <t>SECOND TERM</t>
  </si>
  <si>
    <t>SCHOOL HEAD</t>
  </si>
  <si>
    <t>THIRD TERM</t>
  </si>
  <si>
    <t>GRADE LEVEL</t>
  </si>
  <si>
    <t>FIRST TERM</t>
  </si>
  <si>
    <t>TEACHER</t>
  </si>
  <si>
    <t>SUBJECT</t>
  </si>
  <si>
    <t>SECTION</t>
  </si>
  <si>
    <t>TEACHER, GRADE LEVEL, SECTION INFORMATION</t>
  </si>
  <si>
    <t>WRITTEN / ORAL WORKS (WWs)</t>
  </si>
  <si>
    <t>PRODUCT / PERFORMANCE TASKS (PTs)</t>
  </si>
  <si>
    <t>EXAMINATIONS (EXs)</t>
  </si>
  <si>
    <t>Initial Grade</t>
  </si>
  <si>
    <t>SUBJECT TEACHER</t>
  </si>
  <si>
    <t>Term Grade</t>
  </si>
  <si>
    <t>Descriptor</t>
  </si>
  <si>
    <t>Total</t>
  </si>
  <si>
    <t>PS</t>
  </si>
  <si>
    <t>WS</t>
  </si>
  <si>
    <t>ST1</t>
  </si>
  <si>
    <t>ST2</t>
  </si>
  <si>
    <t>TE</t>
  </si>
  <si>
    <t>WS ST1</t>
  </si>
  <si>
    <t>WS ST2</t>
  </si>
  <si>
    <t>WS TE</t>
  </si>
  <si>
    <t>HIGHEST POSSIBLE SCORE</t>
  </si>
  <si>
    <r>
      <rPr>
        <rFont val="Arial"/>
        <b/>
        <i/>
        <color rgb="FF002060"/>
        <sz val="9.0"/>
      </rPr>
      <t>IMPORTANT NOTE:</t>
    </r>
    <r>
      <rPr>
        <rFont val="Arial"/>
        <i/>
        <color rgb="FF002060"/>
        <sz val="9.0"/>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</si>
  <si>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r>
      <rPr>
        <rFont val="Arial"/>
        <b/>
        <color theme="1"/>
        <sz val="12.0"/>
      </rPr>
      <t xml:space="preserve">Sheet Protection Password: </t>
    </r>
    <r>
      <rPr>
        <rFont val="Arial"/>
        <b/>
        <color rgb="FFFF0000"/>
        <sz val="12.0"/>
      </rPr>
      <t>password123</t>
    </r>
  </si>
  <si>
    <t>2026_v1.0</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</si>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</sst>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23.0"/>
      <color rgb="FF002060"/>
      <name val="Arial"/>
    </font>
    <font>
      <b/>
      <sz val="23.0"/>
      <color theme="1"/>
      <name val="Arial"/>
    </font>
    <font/>
    <font>
      <sz val="10.0"/>
      <color rgb="FF000000"/>
      <name val="Arial"/>
    </font>
    <font>
      <sz val="10.0"/>
      <color theme="1"/>
      <name val="Arial"/>
    </font>
    <font>
      <b/>
      <sz val="23.0"/>
      <color rgb="FF000000"/>
      <name val="Arial"/>
    </font>
    <font>
      <b/>
      <sz val="11.0"/>
      <color rgb="FFFFFFFF"/>
      <name val="Arial"/>
    </font>
    <font>
      <b/>
      <sz val="12.0"/>
      <color theme="1"/>
      <name val="Arial"/>
    </font>
    <font>
      <b/>
      <sz val="11.0"/>
      <color rgb="FF002060"/>
      <name val="Arial"/>
    </font>
    <font>
      <sz val="11.0"/>
      <color theme="1"/>
      <name val="Arial"/>
    </font>
    <font>
      <sz val="12.0"/>
      <color theme="1"/>
      <name val="Arial"/>
    </font>
    <font>
      <b/>
      <sz val="12.0"/>
      <color rgb="FF002060"/>
      <name val="Arial"/>
    </font>
    <font>
      <b/>
      <sz val="21.0"/>
      <color theme="1"/>
      <name val="Arial"/>
    </font>
    <font>
      <b/>
      <sz val="11.0"/>
      <color theme="1"/>
      <name val="Arial"/>
    </font>
    <font>
      <b/>
      <sz val="10.0"/>
      <color theme="1"/>
      <name val="Arial"/>
    </font>
    <font>
      <b/>
      <i/>
      <sz val="11.0"/>
      <color theme="1"/>
      <name val="Arial"/>
    </font>
    <font>
      <i/>
      <sz val="9.0"/>
      <color rgb="FF002060"/>
      <name val="Arial"/>
    </font>
    <font>
      <sz val="9.0"/>
      <color theme="1"/>
      <name val="Arial"/>
    </font>
    <font>
      <b/>
      <sz val="9.0"/>
      <color theme="1"/>
      <name val="Arial"/>
    </font>
    <font>
      <b/>
      <i/>
      <sz val="10.0"/>
      <color theme="1"/>
      <name val="Arial"/>
    </font>
    <font>
      <i/>
      <sz val="8.0"/>
      <color theme="1"/>
      <name val="Arial"/>
    </font>
    <font>
      <b/>
      <sz val="26.0"/>
      <color rgb="FF000000"/>
      <name val="Arial"/>
    </font>
    <font>
      <sz val="10.0"/>
      <color rgb="FF002060"/>
      <name val="Arial"/>
    </font>
    <font>
      <b/>
      <sz val="10.0"/>
      <color rgb="FF000000"/>
      <name val="Arial"/>
    </font>
    <font>
      <b/>
      <sz val="30.0"/>
      <color theme="1"/>
      <name val="Arial"/>
    </font>
    <font>
      <sz val="22.0"/>
      <color theme="1"/>
      <name val="Arial"/>
    </font>
    <font>
      <b/>
      <sz val="22.0"/>
      <color rgb="FFFF0000"/>
      <name val="Arial"/>
    </font>
    <font>
      <b/>
      <sz val="13.0"/>
      <color rgb="FFFFFFFF"/>
      <name val="Arial"/>
    </font>
    <font>
      <sz val="13.0"/>
      <color theme="1"/>
      <name val="Arial"/>
    </font>
    <font>
      <b/>
      <sz val="12.0"/>
      <color rgb="FF000000"/>
      <name val="Arial"/>
    </font>
  </fonts>
  <fills count="18">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BFBFBF"/>
        <bgColor rgb="FFBFBFB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D8D8D8"/>
        <bgColor rgb="FFD8D8D8"/>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s>
  <borders count="130">
    <border/>
    <border>
      <left/>
      <top/>
    </border>
    <border>
      <top/>
    </border>
    <border>
      <right/>
      <top/>
    </border>
    <border>
      <left/>
    </border>
    <border>
      <right/>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right/>
      <top/>
      <bottom/>
    </border>
    <border>
      <left/>
      <right/>
      <top/>
      <bottom/>
    </border>
    <border>
      <left/>
      <right style="medium">
        <color rgb="FF000000"/>
      </right>
      <top/>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left style="thin">
        <color rgb="FF000000"/>
      </left>
      <top style="thin">
        <color rgb="FF000000"/>
      </top>
      <bottom style="thin">
        <color rgb="FF000000"/>
      </bottom>
    </border>
    <border>
      <right style="medium">
        <color rgb="FF000000"/>
      </right>
      <top style="medium">
        <color rgb="FF000000"/>
      </top>
      <bottom style="medium">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top/>
      <bottom/>
    </border>
    <border>
      <right style="thin">
        <color rgb="FF000000"/>
      </right>
      <top/>
      <bottom/>
    </border>
    <border>
      <left style="medium">
        <color rgb="FF000000"/>
      </left>
      <top/>
    </border>
    <border>
      <right style="medium">
        <color rgb="FF000000"/>
      </right>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bottom style="medium">
        <color rgb="FF000000"/>
      </bottom>
    </border>
    <border>
      <left style="medium">
        <color rgb="FF000000"/>
      </left>
      <right/>
      <top/>
      <bottom style="medium">
        <color rgb="FF000000"/>
      </bottom>
    </border>
    <border>
      <top/>
      <bottom style="medium">
        <color rgb="FF000000"/>
      </bottom>
    </border>
    <border>
      <right style="medium">
        <color rgb="FF000000"/>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border>
    <border>
      <right style="medium">
        <color rgb="FF000000"/>
      </right>
    </border>
    <border>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top/>
      <bottom style="thin">
        <color rgb="FF000000"/>
      </bottom>
    </border>
    <border>
      <left/>
      <right/>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right style="thin">
        <color rgb="FF000000"/>
      </right>
      <top/>
      <bottom style="thin">
        <color rgb="FF000000"/>
      </bottom>
    </border>
    <border>
      <left/>
      <top/>
      <bottom style="thin">
        <color rgb="FF000000"/>
      </bottom>
    </border>
    <border>
      <top/>
      <bottom style="thin">
        <color rgb="FF000000"/>
      </bottom>
    </border>
    <border>
      <right/>
      <top/>
      <bottom style="thin">
        <color rgb="FF000000"/>
      </bottom>
    </border>
    <border>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bottom/>
    </border>
    <border>
      <left/>
      <right/>
      <top style="thin">
        <color rgb="FF000000"/>
      </top>
      <bottom style="medium">
        <color rgb="FF000000"/>
      </bottom>
    </border>
    <border>
      <left/>
      <top/>
      <bottom style="medium">
        <color rgb="FF000000"/>
      </bottom>
    </border>
    <border>
      <right/>
      <top/>
      <bottom style="medium">
        <color rgb="FF000000"/>
      </bottom>
    </border>
    <border>
      <left style="medium">
        <color rgb="FF000000"/>
      </left>
      <right style="medium">
        <color rgb="FF000000"/>
      </right>
      <top style="medium">
        <color rgb="FF000000"/>
      </top>
      <bottom style="medium">
        <color rgb="FF000000"/>
      </bottom>
    </border>
    <border>
      <left/>
      <top style="medium">
        <color rgb="FF000000"/>
      </top>
      <bottom/>
    </border>
    <border>
      <top style="medium">
        <color rgb="FF000000"/>
      </top>
      <bottom/>
    </border>
    <border>
      <right style="medium">
        <color rgb="FF000000"/>
      </right>
      <top style="medium">
        <color rgb="FF000000"/>
      </top>
      <bottom/>
    </border>
    <border>
      <left style="medium">
        <color rgb="FF000000"/>
      </left>
      <right style="thin">
        <color rgb="FF000000"/>
      </right>
      <top style="thin">
        <color rgb="FF000000"/>
      </top>
      <bottom/>
    </border>
    <border>
      <left style="medium">
        <color rgb="FF000000"/>
      </left>
      <right/>
      <top style="medium">
        <color rgb="FF000000"/>
      </top>
      <bottom style="thin">
        <color rgb="FF000000"/>
      </bottom>
    </border>
    <border>
      <left/>
      <right/>
      <top style="medium">
        <color rgb="FF000000"/>
      </top>
      <bottom style="thin">
        <color rgb="FF000000"/>
      </bottom>
    </border>
    <border>
      <left style="medium">
        <color rgb="FF000000"/>
      </left>
      <right/>
      <top style="thin">
        <color rgb="FF000000"/>
      </top>
      <bottom style="thin">
        <color rgb="FF000000"/>
      </bottom>
    </border>
    <border>
      <left style="medium">
        <color rgb="FF000000"/>
      </left>
      <top style="thin">
        <color rgb="FF000000"/>
      </top>
      <bottom style="medium">
        <color rgb="FF000000"/>
      </bottom>
    </border>
    <border>
      <left style="medium">
        <color rgb="FF000000"/>
      </left>
      <top style="medium">
        <color rgb="FF000000"/>
      </top>
      <bottom/>
    </border>
    <border>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right style="thin">
        <color rgb="FF000000"/>
      </right>
      <top style="medium">
        <color rgb="FF000000"/>
      </top>
      <bottom style="thin">
        <color rgb="FF000000"/>
      </bottom>
    </border>
    <border>
      <top style="thin">
        <color rgb="FF000000"/>
      </top>
      <bottom style="thin">
        <color rgb="FF000000"/>
      </bottom>
    </border>
    <border>
      <right/>
      <top style="thin">
        <color rgb="FF000000"/>
      </top>
      <bottom style="thin">
        <color rgb="FF000000"/>
      </bottom>
    </border>
    <border>
      <top/>
      <bottom/>
    </border>
    <border>
      <right/>
      <top/>
      <bottom/>
    </border>
    <border>
      <left style="medium">
        <color rgb="FF000000"/>
      </left>
      <right/>
      <top style="thin">
        <color rgb="FF000000"/>
      </top>
      <bottom style="medium">
        <color rgb="FF000000"/>
      </bottom>
    </border>
    <border>
      <left style="medium">
        <color rgb="FF000000"/>
      </left>
      <right/>
      <top/>
      <bottom style="thin">
        <color rgb="FF000000"/>
      </bottom>
    </border>
    <border>
      <top style="thin">
        <color rgb="FF000000"/>
      </top>
      <bottom style="medium">
        <color rgb="FF000000"/>
      </bottom>
    </border>
    <border>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medium">
        <color rgb="FF002060"/>
      </left>
      <right style="thin">
        <color rgb="FF002060"/>
      </right>
      <top style="medium">
        <color rgb="FF002060"/>
      </top>
      <bottom style="medium">
        <color rgb="FF002060"/>
      </bottom>
    </border>
    <border>
      <left style="thin">
        <color rgb="FF002060"/>
      </left>
      <right style="thin">
        <color rgb="FF002060"/>
      </right>
      <top style="medium">
        <color rgb="FF002060"/>
      </top>
      <bottom style="medium">
        <color rgb="FF002060"/>
      </bottom>
    </border>
    <border>
      <left style="thin">
        <color rgb="FF002060"/>
      </left>
      <right style="medium">
        <color rgb="FF002060"/>
      </right>
      <top style="medium">
        <color rgb="FF002060"/>
      </top>
      <bottom style="medium">
        <color rgb="FF002060"/>
      </bottom>
    </border>
    <border>
      <left style="medium">
        <color rgb="FF002060"/>
      </left>
      <right style="hair">
        <color rgb="FF000000"/>
      </right>
      <top style="medium">
        <color rgb="FF002060"/>
      </top>
      <bottom style="medium">
        <color rgb="FF002060"/>
      </bottom>
    </border>
    <border>
      <left style="hair">
        <color rgb="FF000000"/>
      </left>
      <right style="hair">
        <color rgb="FF000000"/>
      </right>
      <top style="medium">
        <color rgb="FF002060"/>
      </top>
      <bottom style="medium">
        <color rgb="FF002060"/>
      </bottom>
    </border>
    <border>
      <left style="hair">
        <color rgb="FF000000"/>
      </left>
      <right style="medium">
        <color rgb="FF002060"/>
      </right>
      <top style="medium">
        <color rgb="FF002060"/>
      </top>
      <bottom style="medium">
        <color rgb="FF002060"/>
      </bottom>
    </border>
    <border>
      <left style="medium">
        <color rgb="FF002060"/>
      </left>
      <right style="thin">
        <color rgb="FF002060"/>
      </right>
      <bottom style="thin">
        <color rgb="FF002060"/>
      </bottom>
    </border>
    <border>
      <left style="thin">
        <color rgb="FF002060"/>
      </left>
      <right style="thin">
        <color rgb="FF002060"/>
      </right>
      <bottom style="thin">
        <color rgb="FF002060"/>
      </bottom>
    </border>
    <border>
      <left style="thin">
        <color rgb="FF002060"/>
      </left>
      <right style="medium">
        <color rgb="FF002060"/>
      </right>
      <bottom style="thin">
        <color rgb="FF002060"/>
      </bottom>
    </border>
    <border>
      <left style="medium">
        <color rgb="FF000000"/>
      </left>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medium">
        <color rgb="FF000000"/>
      </right>
    </border>
    <border>
      <left style="medium">
        <color rgb="FF002060"/>
      </left>
      <right style="thin">
        <color rgb="FF002060"/>
      </right>
      <top style="thin">
        <color rgb="FF002060"/>
      </top>
      <bottom style="thin">
        <color rgb="FF002060"/>
      </bottom>
    </border>
    <border>
      <left style="thin">
        <color rgb="FF002060"/>
      </left>
      <right style="thin">
        <color rgb="FF002060"/>
      </right>
      <top style="thin">
        <color rgb="FF002060"/>
      </top>
      <bottom style="thin">
        <color rgb="FF002060"/>
      </bottom>
    </border>
    <border>
      <left style="thin">
        <color rgb="FF002060"/>
      </left>
      <right style="medium">
        <color rgb="FF002060"/>
      </right>
      <top style="thin">
        <color rgb="FF002060"/>
      </top>
      <bottom style="thin">
        <color rgb="FF00206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medium">
        <color rgb="FF000000"/>
      </right>
      <bottom style="hair">
        <color rgb="FF000000"/>
      </bottom>
    </border>
    <border>
      <left style="hair">
        <color rgb="FF000000"/>
      </left>
      <right style="medium">
        <color rgb="FF000000"/>
      </right>
      <top style="hair">
        <color rgb="FF000000"/>
      </top>
    </border>
    <border>
      <left style="medium">
        <color rgb="FF002060"/>
      </left>
      <right style="thin">
        <color rgb="FF002060"/>
      </right>
      <top style="thin">
        <color rgb="FF002060"/>
      </top>
      <bottom style="medium">
        <color rgb="FF002060"/>
      </bottom>
    </border>
    <border>
      <left style="thin">
        <color rgb="FF002060"/>
      </left>
      <right style="thin">
        <color rgb="FF002060"/>
      </right>
      <top style="thin">
        <color rgb="FF002060"/>
      </top>
      <bottom style="medium">
        <color rgb="FF002060"/>
      </bottom>
    </border>
    <border>
      <left style="thin">
        <color rgb="FF002060"/>
      </left>
      <right style="medium">
        <color rgb="FF002060"/>
      </right>
      <top style="thin">
        <color rgb="FF002060"/>
      </top>
      <bottom style="medium">
        <color rgb="FF00206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bottom style="medium">
        <color rgb="FF000000"/>
      </bottom>
    </border>
  </borders>
  <cellStyleXfs count="1">
    <xf borderId="0" fillId="0" fontId="0" numFmtId="0" applyAlignment="1" applyFont="1"/>
  </cellStyleXfs>
  <cellXfs count="27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xf borderId="2" fillId="0" fontId="3" numFmtId="0" xfId="0" applyBorder="1" applyFont="1"/>
    <xf borderId="0" fillId="0" fontId="4" numFmtId="0" xfId="0" applyFont="1"/>
    <xf borderId="3" fillId="0" fontId="3" numFmtId="0" xfId="0" applyBorder="1" applyFont="1"/>
    <xf borderId="0" fillId="0" fontId="5" numFmtId="0" xfId="0"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0" fontId="5" numFmtId="0" xfId="0" applyAlignment="1" applyFont="1">
      <alignment vertical="center"/>
    </xf>
    <xf borderId="0" fillId="0" fontId="2" numFmtId="0" xfId="0" applyAlignment="1" applyFont="1">
      <alignment horizontal="center" vertical="center"/>
    </xf>
    <xf borderId="0" fillId="0" fontId="6" numFmtId="0" xfId="0" applyAlignment="1" applyFont="1">
      <alignment horizontal="center"/>
    </xf>
    <xf borderId="9" fillId="3" fontId="7" numFmtId="0" xfId="0" applyAlignment="1" applyBorder="1" applyFill="1" applyFont="1">
      <alignment horizontal="center"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4" fontId="5" numFmtId="0" xfId="0" applyBorder="1" applyFill="1" applyFont="1"/>
    <xf borderId="0" fillId="0" fontId="8" numFmtId="0" xfId="0" applyAlignment="1" applyFont="1">
      <alignment horizontal="right"/>
    </xf>
    <xf borderId="15" fillId="4" fontId="5" numFmtId="0" xfId="0" applyBorder="1" applyFill="1" applyFont="1"/>
    <xf borderId="16" fillId="4" fontId="5" numFmtId="0" xfId="0" applyBorder="1" applyFill="1" applyFont="1"/>
    <xf borderId="17" fillId="5" fontId="9" numFmtId="0" xfId="0" applyBorder="1" applyFill="1" applyFont="1"/>
    <xf borderId="18" fillId="5" fontId="9" numFmtId="0" xfId="0" applyAlignment="1" applyBorder="1" applyFill="1" applyFont="1">
      <alignment horizontal="center"/>
    </xf>
    <xf borderId="19" fillId="6" fontId="10" numFmtId="0" xfId="0" applyAlignment="1" applyBorder="1" applyFill="1" applyFont="1">
      <alignment horizontal="left"/>
    </xf>
    <xf borderId="20" fillId="0" fontId="3" numFmtId="0" xfId="0" applyBorder="1" applyFont="1"/>
    <xf borderId="21" fillId="4" fontId="11" numFmtId="0" xfId="0" applyAlignment="1" applyBorder="1" applyFill="1" applyFont="1">
      <alignment horizontal="center"/>
    </xf>
    <xf borderId="22" fillId="0" fontId="3" numFmtId="0" xfId="0" applyBorder="1" applyFont="1"/>
    <xf borderId="23" fillId="3" fontId="7" numFmtId="0" xfId="0" applyAlignment="1" applyBorder="1" applyFill="1" applyFont="1">
      <alignment horizontal="center"/>
    </xf>
    <xf borderId="24" fillId="0" fontId="3" numFmtId="0" xfId="0" applyBorder="1" applyFont="1"/>
    <xf borderId="18" fillId="5" fontId="10" numFmtId="0" xfId="0" applyAlignment="1" applyBorder="1" applyFill="1" applyFont="1">
      <alignment horizontal="left"/>
    </xf>
    <xf borderId="25" fillId="5" fontId="5" numFmtId="0" xfId="0" applyAlignment="1" applyBorder="1" applyFill="1" applyFont="1">
      <alignment horizontal="left"/>
    </xf>
    <xf borderId="26" fillId="5" fontId="9" numFmtId="0" xfId="0" applyAlignment="1" applyBorder="1" applyFill="1" applyFont="1">
      <alignment horizontal="center" vertical="center"/>
    </xf>
    <xf borderId="26" fillId="5" fontId="10" numFmtId="0" xfId="0" applyAlignment="1" applyBorder="1" applyFill="1" applyFont="1">
      <alignment vertical="center"/>
    </xf>
    <xf borderId="22" fillId="0" fontId="11" numFmtId="0" xfId="0" applyAlignment="1" applyBorder="1" applyFont="1">
      <alignment horizontal="center"/>
    </xf>
    <xf borderId="15" fillId="4" fontId="5" numFmtId="0" xfId="0" applyAlignment="1" applyBorder="1" applyFill="1" applyFont="1">
      <alignment horizontal="left"/>
    </xf>
    <xf borderId="22" fillId="0" fontId="5" numFmtId="0" xfId="0" applyAlignment="1" applyBorder="1" applyFont="1">
      <alignment horizontal="center"/>
    </xf>
    <xf borderId="17" fillId="5" fontId="9" numFmtId="0" xfId="0" applyAlignment="1" applyBorder="1" applyFill="1" applyFont="1">
      <alignment vertical="center"/>
    </xf>
    <xf borderId="18" fillId="5" fontId="9" numFmtId="0" xfId="0" applyAlignment="1" applyBorder="1" applyFill="1" applyFont="1">
      <alignment horizontal="center" vertical="center"/>
    </xf>
    <xf borderId="19" fillId="5" fontId="10" numFmtId="0" xfId="0" applyAlignment="1" applyBorder="1" applyFill="1" applyFont="1">
      <alignment horizontal="left"/>
    </xf>
    <xf borderId="27" fillId="5" fontId="9" numFmtId="0" xfId="0" applyAlignment="1" applyBorder="1" applyFill="1" applyFont="1">
      <alignment vertical="center"/>
    </xf>
    <xf borderId="28" fillId="5" fontId="9" numFmtId="0" xfId="0" applyAlignment="1" applyBorder="1" applyFill="1" applyFont="1">
      <alignment horizontal="center" vertical="center"/>
    </xf>
    <xf borderId="29" fillId="5" fontId="10" numFmtId="0" xfId="0" applyAlignment="1" applyBorder="1" applyFill="1" applyFont="1">
      <alignment horizontal="left" vertical="center"/>
    </xf>
    <xf borderId="30" fillId="0" fontId="3" numFmtId="0" xfId="0" applyBorder="1" applyFont="1"/>
    <xf borderId="21" fillId="3" fontId="12" numFmtId="0" xfId="0" applyAlignment="1" applyBorder="1" applyFill="1" applyFont="1">
      <alignment horizontal="center"/>
    </xf>
    <xf borderId="31" fillId="4" fontId="13" numFmtId="0" xfId="0" applyAlignment="1" applyBorder="1" applyFill="1" applyFont="1">
      <alignment horizontal="center" vertical="center"/>
    </xf>
    <xf borderId="32" fillId="0" fontId="3" numFmtId="0" xfId="0" applyBorder="1" applyFont="1"/>
    <xf borderId="33" fillId="0" fontId="14" numFmtId="0" xfId="0" applyAlignment="1" applyBorder="1" applyFont="1">
      <alignment vertical="center"/>
    </xf>
    <xf borderId="34" fillId="0" fontId="3" numFmtId="0" xfId="0" applyBorder="1" applyFont="1"/>
    <xf borderId="35" fillId="0" fontId="3" numFmtId="0" xfId="0" applyBorder="1" applyFont="1"/>
    <xf borderId="36" fillId="4" fontId="10" numFmtId="0" xfId="0" applyAlignment="1" applyBorder="1" applyFill="1" applyFont="1">
      <alignment horizontal="center" vertical="center"/>
    </xf>
    <xf borderId="37" fillId="4" fontId="5" numFmtId="0" xfId="0" applyBorder="1" applyFill="1" applyFont="1"/>
    <xf borderId="38" fillId="0" fontId="3" numFmtId="0" xfId="0" applyBorder="1" applyFont="1"/>
    <xf borderId="39" fillId="0" fontId="3" numFmtId="0" xfId="0" applyBorder="1" applyFont="1"/>
    <xf borderId="40" fillId="4" fontId="5" numFmtId="0" xfId="0" applyBorder="1" applyFill="1" applyFont="1"/>
    <xf borderId="31" fillId="4" fontId="14" numFmtId="0" xfId="0" applyAlignment="1" applyBorder="1" applyFill="1" applyFont="1">
      <alignment horizontal="center" vertical="center"/>
    </xf>
    <xf borderId="41" fillId="4" fontId="5" numFmtId="0" xfId="0" applyBorder="1" applyFill="1" applyFont="1"/>
    <xf borderId="31" fillId="4" fontId="10" numFmtId="0" xfId="0" applyAlignment="1" applyBorder="1" applyFill="1" applyFont="1">
      <alignment horizontal="center" vertical="center"/>
    </xf>
    <xf borderId="42" fillId="0" fontId="3" numFmtId="0" xfId="0" applyBorder="1" applyFont="1"/>
    <xf borderId="43" fillId="0" fontId="3" numFmtId="0" xfId="0" applyBorder="1" applyFont="1"/>
    <xf borderId="21" fillId="0" fontId="14" numFmtId="0" xfId="0" applyAlignment="1" applyBorder="1" applyFont="1">
      <alignment vertical="center"/>
    </xf>
    <xf borderId="21" fillId="4" fontId="10" numFmtId="0" xfId="0" applyAlignment="1" applyBorder="1" applyFill="1" applyFont="1">
      <alignment horizontal="center" vertical="center"/>
    </xf>
    <xf borderId="33" fillId="0" fontId="3" numFmtId="0" xfId="0" applyBorder="1" applyFont="1"/>
    <xf borderId="44" fillId="0" fontId="3" numFmtId="0" xfId="0" applyBorder="1" applyFont="1"/>
    <xf borderId="9" fillId="4" fontId="14" numFmtId="0" xfId="0" applyAlignment="1" applyBorder="1" applyFill="1" applyFont="1">
      <alignment horizontal="center" vertical="center"/>
    </xf>
    <xf borderId="9" fillId="4" fontId="14" numFmtId="0" xfId="0" applyAlignment="1" applyBorder="1" applyFill="1" applyFont="1">
      <alignment horizontal="center" shrinkToFit="0" vertical="center" wrapText="1"/>
    </xf>
    <xf borderId="45" fillId="4" fontId="14" numFmtId="0" xfId="0" applyAlignment="1" applyBorder="1" applyFill="1" applyFont="1">
      <alignment horizontal="center" shrinkToFit="0" vertical="center" wrapText="1"/>
    </xf>
    <xf borderId="27" fillId="5" fontId="9" numFmtId="0" xfId="0" applyBorder="1" applyFill="1" applyFont="1"/>
    <xf borderId="28" fillId="5" fontId="9" numFmtId="0" xfId="0" applyAlignment="1" applyBorder="1" applyFill="1" applyFont="1">
      <alignment horizontal="center"/>
    </xf>
    <xf borderId="46" fillId="0" fontId="3" numFmtId="0" xfId="0" applyBorder="1" applyFont="1"/>
    <xf borderId="47" fillId="7" fontId="15" numFmtId="0" xfId="0" applyAlignment="1" applyBorder="1" applyFill="1" applyFont="1">
      <alignment horizontal="center" vertical="center"/>
    </xf>
    <xf borderId="48" fillId="7" fontId="15" numFmtId="0" xfId="0" applyAlignment="1" applyBorder="1" applyFill="1" applyFont="1">
      <alignment horizontal="center" vertical="center"/>
    </xf>
    <xf borderId="49" fillId="7" fontId="15" numFmtId="0" xfId="0" applyAlignment="1" applyBorder="1" applyFill="1" applyFont="1">
      <alignment horizontal="center" vertical="center"/>
    </xf>
    <xf borderId="50" fillId="8" fontId="15" numFmtId="0" xfId="0" applyAlignment="1" applyBorder="1" applyFill="1" applyFont="1">
      <alignment horizontal="center" vertical="center"/>
    </xf>
    <xf borderId="47" fillId="8" fontId="15" numFmtId="0" xfId="0" applyAlignment="1" applyBorder="1" applyFill="1" applyFont="1">
      <alignment horizontal="center" vertical="center"/>
    </xf>
    <xf borderId="48" fillId="8" fontId="15" numFmtId="0" xfId="0" applyAlignment="1" applyBorder="1" applyFill="1" applyFont="1">
      <alignment horizontal="center" vertical="center"/>
    </xf>
    <xf borderId="51" fillId="8" fontId="15" numFmtId="0" xfId="0" applyAlignment="1" applyBorder="1" applyFill="1" applyFont="1">
      <alignment horizontal="center" vertical="center"/>
    </xf>
    <xf borderId="52" fillId="5" fontId="9" numFmtId="0" xfId="0" applyBorder="1" applyFill="1" applyFont="1"/>
    <xf borderId="53" fillId="5" fontId="9" numFmtId="0" xfId="0" applyAlignment="1" applyBorder="1" applyFill="1" applyFont="1">
      <alignment horizontal="center"/>
    </xf>
    <xf borderId="21" fillId="4" fontId="16" numFmtId="0" xfId="0" applyAlignment="1" applyBorder="1" applyFill="1" applyFont="1">
      <alignment horizontal="right"/>
    </xf>
    <xf borderId="54" fillId="0" fontId="15" numFmtId="0" xfId="0" applyAlignment="1" applyBorder="1" applyFont="1">
      <alignment horizontal="center" vertical="center"/>
    </xf>
    <xf borderId="54" fillId="0" fontId="15" numFmtId="0" xfId="0" applyAlignment="1" applyBorder="1" applyFont="1">
      <alignment horizontal="center" readingOrder="0" vertical="center"/>
    </xf>
    <xf borderId="55" fillId="0" fontId="15" numFmtId="0" xfId="0" applyAlignment="1" applyBorder="1" applyFont="1">
      <alignment horizontal="center" vertical="center"/>
    </xf>
    <xf borderId="55" fillId="0" fontId="15" numFmtId="0" xfId="0" applyAlignment="1" applyBorder="1" applyFont="1">
      <alignment horizontal="center" readingOrder="0" vertical="center"/>
    </xf>
    <xf borderId="56" fillId="0" fontId="15" numFmtId="0" xfId="0" applyAlignment="1" applyBorder="1" applyFont="1">
      <alignment horizontal="center" vertical="center"/>
    </xf>
    <xf borderId="56" fillId="0" fontId="15" numFmtId="0" xfId="0" applyAlignment="1" applyBorder="1" applyFont="1">
      <alignment horizontal="center" readingOrder="0" vertical="center"/>
    </xf>
    <xf borderId="57" fillId="8" fontId="15" numFmtId="0" xfId="0" applyAlignment="1" applyBorder="1" applyFill="1" applyFont="1">
      <alignment horizontal="center" vertical="center"/>
    </xf>
    <xf borderId="57" fillId="8" fontId="15" numFmtId="1" xfId="0" applyAlignment="1" applyBorder="1" applyFill="1" applyFont="1" applyNumberFormat="1">
      <alignment horizontal="center" vertical="center"/>
    </xf>
    <xf borderId="14" fillId="9" fontId="5" numFmtId="0" xfId="0" applyBorder="1" applyFill="1" applyFont="1"/>
    <xf borderId="57" fillId="8" fontId="15" numFmtId="9" xfId="0" applyAlignment="1" applyBorder="1" applyFill="1" applyFont="1" applyNumberFormat="1">
      <alignment horizontal="center" vertical="center"/>
    </xf>
    <xf borderId="1" fillId="9" fontId="17" numFmtId="0" xfId="0" applyAlignment="1" applyBorder="1" applyFill="1" applyFont="1">
      <alignment horizontal="left" shrinkToFit="0" vertical="center" wrapText="1"/>
    </xf>
    <xf borderId="16" fillId="9" fontId="5" numFmtId="0" xfId="0" applyBorder="1" applyFill="1" applyFont="1"/>
    <xf borderId="58" fillId="8" fontId="15" numFmtId="1" xfId="0" applyAlignment="1" applyBorder="1" applyFill="1" applyFont="1" applyNumberFormat="1">
      <alignment horizontal="center" vertical="center"/>
    </xf>
    <xf borderId="58" fillId="8" fontId="15" numFmtId="9" xfId="0" applyAlignment="1" applyBorder="1" applyFill="1" applyFont="1" applyNumberFormat="1">
      <alignment horizontal="center" vertical="center"/>
    </xf>
    <xf borderId="54" fillId="8" fontId="15" numFmtId="0" xfId="0" applyAlignment="1" applyBorder="1" applyFill="1" applyFont="1">
      <alignment horizontal="center" vertical="center"/>
    </xf>
    <xf borderId="55" fillId="8" fontId="15" numFmtId="0" xfId="0" applyAlignment="1" applyBorder="1" applyFill="1" applyFont="1">
      <alignment horizontal="center" vertical="center"/>
    </xf>
    <xf borderId="59" fillId="8" fontId="15" numFmtId="0" xfId="0" applyAlignment="1" applyBorder="1" applyFill="1" applyFont="1">
      <alignment horizontal="center" vertical="center"/>
    </xf>
    <xf borderId="60" fillId="0" fontId="3" numFmtId="0" xfId="0" applyBorder="1" applyFont="1"/>
    <xf borderId="37" fillId="9" fontId="5" numFmtId="0" xfId="0" applyBorder="1" applyFill="1" applyFont="1"/>
    <xf borderId="40" fillId="9" fontId="5" numFmtId="0" xfId="0" applyBorder="1" applyFill="1" applyFont="1"/>
    <xf borderId="21" fillId="3" fontId="7" numFmtId="0" xfId="0" applyBorder="1" applyFill="1" applyFont="1"/>
    <xf borderId="41" fillId="9" fontId="5" numFmtId="0" xfId="0" applyBorder="1" applyFill="1" applyFont="1"/>
    <xf borderId="21" fillId="10" fontId="7" numFmtId="0" xfId="0" applyBorder="1" applyFill="1" applyFont="1"/>
    <xf borderId="61" fillId="11" fontId="14" numFmtId="0" xfId="0" applyAlignment="1" applyBorder="1" applyFill="1" applyFont="1">
      <alignment horizontal="center"/>
    </xf>
    <xf borderId="62" fillId="4" fontId="10" numFmtId="0" xfId="0" applyBorder="1" applyFill="1" applyFont="1"/>
    <xf borderId="63" fillId="0" fontId="3" numFmtId="0" xfId="0" applyBorder="1" applyFont="1"/>
    <xf borderId="64" fillId="0" fontId="3" numFmtId="0" xfId="0" applyBorder="1" applyFont="1"/>
    <xf borderId="47" fillId="0" fontId="18" numFmtId="0" xfId="0" applyAlignment="1" applyBorder="1" applyFont="1">
      <alignment horizontal="center" vertical="center"/>
    </xf>
    <xf borderId="48" fillId="0" fontId="18" numFmtId="0" xfId="0" applyAlignment="1" applyBorder="1" applyFont="1">
      <alignment horizontal="center" vertical="center"/>
    </xf>
    <xf borderId="51" fillId="0" fontId="18" numFmtId="0" xfId="0" applyAlignment="1" applyBorder="1" applyFont="1">
      <alignment horizontal="center" vertical="center"/>
    </xf>
    <xf borderId="65" fillId="8" fontId="19" numFmtId="0" xfId="0" applyAlignment="1" applyBorder="1" applyFill="1" applyFont="1">
      <alignment horizontal="center" vertical="center"/>
    </xf>
    <xf borderId="9" fillId="12" fontId="8" numFmtId="0" xfId="0" applyAlignment="1" applyBorder="1" applyFill="1" applyFont="1">
      <alignment horizontal="center" vertical="center"/>
    </xf>
    <xf borderId="66" fillId="8" fontId="19" numFmtId="0" xfId="0" applyAlignment="1" applyBorder="1" applyFill="1" applyFont="1">
      <alignment horizontal="center" vertical="center"/>
    </xf>
    <xf borderId="66" fillId="8" fontId="19" numFmtId="4" xfId="0" applyAlignment="1" applyBorder="1" applyFill="1" applyFont="1" applyNumberFormat="1">
      <alignment horizontal="center" vertical="center"/>
    </xf>
    <xf borderId="67" fillId="8" fontId="19" numFmtId="4" xfId="0" applyAlignment="1" applyBorder="1" applyFill="1" applyFont="1" applyNumberFormat="1">
      <alignment horizontal="center" vertical="center"/>
    </xf>
    <xf borderId="68" fillId="8" fontId="19" numFmtId="4" xfId="0" applyAlignment="1" applyBorder="1" applyFill="1" applyFont="1" applyNumberFormat="1">
      <alignment horizontal="center" vertical="center"/>
    </xf>
    <xf borderId="69" fillId="8" fontId="19" numFmtId="4" xfId="0" applyAlignment="1" applyBorder="1" applyFill="1" applyFont="1" applyNumberFormat="1">
      <alignment horizontal="center" vertical="center"/>
    </xf>
    <xf borderId="27" fillId="8" fontId="19" numFmtId="4" xfId="0" applyAlignment="1" applyBorder="1" applyFill="1" applyFont="1" applyNumberFormat="1">
      <alignment horizontal="center" vertical="center"/>
    </xf>
    <xf borderId="70" fillId="8" fontId="19" numFmtId="4" xfId="0" applyAlignment="1" applyBorder="1" applyFill="1" applyFont="1" applyNumberFormat="1">
      <alignment horizontal="center" vertical="center"/>
    </xf>
    <xf borderId="71" fillId="8" fontId="19" numFmtId="4" xfId="0" applyAlignment="1" applyBorder="1" applyFill="1" applyFont="1" applyNumberFormat="1">
      <alignment horizontal="center" vertical="center"/>
    </xf>
    <xf borderId="15" fillId="5" fontId="19" numFmtId="4" xfId="0" applyAlignment="1" applyBorder="1" applyFill="1" applyFont="1" applyNumberFormat="1">
      <alignment horizontal="center" vertical="center"/>
    </xf>
    <xf borderId="72" fillId="0" fontId="20" numFmtId="1" xfId="0" applyAlignment="1" applyBorder="1" applyFont="1" applyNumberFormat="1">
      <alignment horizontal="center" vertical="center"/>
    </xf>
    <xf borderId="47" fillId="0" fontId="18" numFmtId="0" xfId="0" applyAlignment="1" applyBorder="1" applyFont="1">
      <alignment horizontal="center" readingOrder="0" vertical="center"/>
    </xf>
    <xf borderId="50" fillId="0" fontId="20" numFmtId="0" xfId="0" applyAlignment="1" applyBorder="1" applyFont="1">
      <alignment horizontal="center" vertical="center"/>
    </xf>
    <xf borderId="73" fillId="11" fontId="14" numFmtId="0" xfId="0" applyAlignment="1" applyBorder="1" applyFill="1" applyFont="1">
      <alignment horizontal="center"/>
    </xf>
    <xf borderId="48" fillId="0" fontId="18" numFmtId="0" xfId="0" applyAlignment="1" applyBorder="1" applyFont="1">
      <alignment horizontal="center" readingOrder="0" vertical="center"/>
    </xf>
    <xf borderId="73" fillId="0" fontId="18" numFmtId="0" xfId="0" applyAlignment="1" applyBorder="1" applyFont="1">
      <alignment horizontal="center" vertical="center"/>
    </xf>
    <xf borderId="26" fillId="0" fontId="18" numFmtId="0" xfId="0" applyAlignment="1" applyBorder="1" applyFont="1">
      <alignment horizontal="center" vertical="center"/>
    </xf>
    <xf borderId="74" fillId="0" fontId="18" numFmtId="0" xfId="0" applyAlignment="1" applyBorder="1" applyFont="1">
      <alignment horizontal="center" vertical="center"/>
    </xf>
    <xf borderId="51" fillId="0" fontId="18" numFmtId="0" xfId="0" applyAlignment="1" applyBorder="1" applyFont="1">
      <alignment horizontal="center" readingOrder="0" vertical="center"/>
    </xf>
    <xf borderId="25" fillId="8" fontId="19" numFmtId="0" xfId="0" applyAlignment="1" applyBorder="1" applyFill="1" applyFont="1">
      <alignment horizontal="center" vertical="center"/>
    </xf>
    <xf borderId="26" fillId="8" fontId="19" numFmtId="4" xfId="0" applyAlignment="1" applyBorder="1" applyFill="1" applyFont="1" applyNumberFormat="1">
      <alignment horizontal="center" vertical="center"/>
    </xf>
    <xf borderId="17" fillId="8" fontId="19" numFmtId="4" xfId="0" applyAlignment="1" applyBorder="1" applyFill="1" applyFont="1" applyNumberFormat="1">
      <alignment horizontal="center" vertical="center"/>
    </xf>
    <xf borderId="26" fillId="8" fontId="19" numFmtId="0" xfId="0" applyAlignment="1" applyBorder="1" applyFill="1" applyFont="1">
      <alignment horizontal="center" vertical="center"/>
    </xf>
    <xf borderId="25" fillId="8" fontId="19" numFmtId="4" xfId="0" applyAlignment="1" applyBorder="1" applyFill="1" applyFont="1" applyNumberFormat="1">
      <alignment horizontal="center" vertical="center"/>
    </xf>
    <xf borderId="73" fillId="8" fontId="19" numFmtId="4" xfId="0" applyAlignment="1" applyBorder="1" applyFill="1" applyFont="1" applyNumberFormat="1">
      <alignment horizontal="center" vertical="center"/>
    </xf>
    <xf borderId="74" fillId="8" fontId="19" numFmtId="4" xfId="0" applyAlignment="1" applyBorder="1" applyFill="1" applyFont="1" applyNumberFormat="1">
      <alignment horizontal="center" vertical="center"/>
    </xf>
    <xf borderId="18" fillId="5" fontId="19" numFmtId="4" xfId="0" applyAlignment="1" applyBorder="1" applyFill="1" applyFont="1" applyNumberFormat="1">
      <alignment horizontal="center" vertical="center"/>
    </xf>
    <xf borderId="75" fillId="0" fontId="20" numFmtId="1" xfId="0" applyAlignment="1" applyBorder="1" applyFont="1" applyNumberFormat="1">
      <alignment horizontal="center" vertical="center"/>
    </xf>
    <xf borderId="76" fillId="0" fontId="20" numFmtId="0" xfId="0" applyAlignment="1" applyBorder="1" applyFont="1">
      <alignment horizontal="center" vertical="center"/>
    </xf>
    <xf borderId="67" fillId="8" fontId="19" numFmtId="0" xfId="0" applyAlignment="1" applyBorder="1" applyFill="1" applyFont="1">
      <alignment horizontal="center" vertical="center"/>
    </xf>
    <xf borderId="71" fillId="8" fontId="19" numFmtId="0" xfId="0" applyAlignment="1" applyBorder="1" applyFill="1" applyFont="1">
      <alignment horizontal="center" vertical="center"/>
    </xf>
    <xf borderId="77" fillId="4" fontId="5" numFmtId="0" xfId="0" applyBorder="1" applyFill="1" applyFont="1"/>
    <xf borderId="62" fillId="4" fontId="10" numFmtId="0" xfId="0" applyAlignment="1" applyBorder="1" applyFill="1" applyFont="1">
      <alignment horizontal="left" vertical="center"/>
    </xf>
    <xf borderId="78" fillId="4" fontId="5" numFmtId="0" xfId="0" applyBorder="1" applyFill="1" applyFont="1"/>
    <xf borderId="15" fillId="5" fontId="19" numFmtId="2" xfId="0" applyAlignment="1" applyBorder="1" applyFill="1" applyFont="1" applyNumberFormat="1">
      <alignment horizontal="center" vertical="center"/>
    </xf>
    <xf borderId="0" fillId="0" fontId="21" numFmtId="0" xfId="0" applyAlignment="1" applyFont="1">
      <alignment horizontal="right"/>
    </xf>
    <xf borderId="17" fillId="8" fontId="19" numFmtId="0" xfId="0" applyAlignment="1" applyBorder="1" applyFill="1" applyFont="1">
      <alignment horizontal="center" vertical="center"/>
    </xf>
    <xf borderId="74" fillId="8" fontId="19" numFmtId="0" xfId="0" applyAlignment="1" applyBorder="1" applyFill="1" applyFont="1">
      <alignment horizontal="center" vertical="center"/>
    </xf>
    <xf borderId="18" fillId="5" fontId="19" numFmtId="2" xfId="0" applyAlignment="1" applyBorder="1" applyFill="1" applyFont="1" applyNumberFormat="1">
      <alignment horizontal="center" vertical="center"/>
    </xf>
    <xf borderId="0" fillId="0" fontId="22" numFmtId="0" xfId="0" applyAlignment="1" applyFont="1">
      <alignment horizontal="center"/>
    </xf>
    <xf borderId="0" fillId="0" fontId="8" numFmtId="0" xfId="0" applyAlignment="1" applyFont="1">
      <alignment horizontal="right" vertical="center"/>
    </xf>
    <xf borderId="0" fillId="0" fontId="11" numFmtId="0" xfId="0" applyFont="1"/>
    <xf borderId="0" fillId="0" fontId="8" numFmtId="0" xfId="0" applyAlignment="1" applyFont="1">
      <alignment horizontal="center"/>
    </xf>
    <xf borderId="79" fillId="3" fontId="23" numFmtId="0" xfId="0" applyAlignment="1" applyBorder="1" applyFill="1" applyFont="1">
      <alignment horizontal="center"/>
    </xf>
    <xf borderId="80" fillId="0" fontId="3" numFmtId="0" xfId="0" applyBorder="1" applyFont="1"/>
    <xf borderId="81" fillId="0" fontId="14" numFmtId="0" xfId="0" applyAlignment="1" applyBorder="1" applyFont="1">
      <alignment horizontal="right" vertical="center"/>
    </xf>
    <xf borderId="82" fillId="4" fontId="10" numFmtId="0" xfId="0" applyAlignment="1" applyBorder="1" applyFill="1" applyFont="1">
      <alignment horizontal="center" vertical="center"/>
    </xf>
    <xf borderId="83" fillId="0" fontId="3" numFmtId="0" xfId="0" applyBorder="1" applyFont="1"/>
    <xf borderId="84" fillId="0" fontId="3" numFmtId="0" xfId="0" applyBorder="1" applyFont="1"/>
    <xf borderId="45" fillId="0" fontId="14" numFmtId="0" xfId="0" applyAlignment="1" applyBorder="1" applyFont="1">
      <alignment horizontal="right" vertical="center"/>
    </xf>
    <xf borderId="9" fillId="0" fontId="14" numFmtId="0" xfId="0" applyAlignment="1" applyBorder="1" applyFont="1">
      <alignment horizontal="center" vertical="center"/>
    </xf>
    <xf borderId="21" fillId="0" fontId="14" numFmtId="0" xfId="0" applyAlignment="1" applyBorder="1" applyFont="1">
      <alignment horizontal="center" vertical="center"/>
    </xf>
    <xf borderId="11" fillId="0" fontId="14" numFmtId="0" xfId="0" applyAlignment="1" applyBorder="1" applyFont="1">
      <alignment horizontal="center" vertical="center"/>
    </xf>
    <xf borderId="45" fillId="0" fontId="14" numFmtId="0" xfId="0" applyAlignment="1" applyBorder="1" applyFont="1">
      <alignment horizontal="center" vertical="center"/>
    </xf>
    <xf borderId="81" fillId="0" fontId="14" numFmtId="0" xfId="0" applyAlignment="1" applyBorder="1" applyFont="1">
      <alignment horizontal="center" vertical="center"/>
    </xf>
    <xf borderId="85" fillId="11" fontId="14" numFmtId="0" xfId="0" applyAlignment="1" applyBorder="1" applyFill="1" applyFont="1">
      <alignment horizontal="center"/>
    </xf>
    <xf borderId="21" fillId="13" fontId="7" numFmtId="0" xfId="0" applyBorder="1" applyFill="1" applyFont="1"/>
    <xf borderId="0" fillId="0" fontId="24" numFmtId="0" xfId="0" applyAlignment="1" applyFont="1">
      <alignment horizontal="center"/>
    </xf>
    <xf borderId="47" fillId="11" fontId="14" numFmtId="0" xfId="0" applyAlignment="1" applyBorder="1" applyFill="1" applyFont="1">
      <alignment horizontal="center"/>
    </xf>
    <xf borderId="62" fillId="4" fontId="10" numFmtId="0" xfId="0" applyAlignment="1" applyBorder="1" applyFill="1" applyFont="1">
      <alignment vertical="center"/>
    </xf>
    <xf borderId="86" fillId="4" fontId="5" numFmtId="1" xfId="0" applyAlignment="1" applyBorder="1" applyFill="1" applyFont="1" applyNumberFormat="1">
      <alignment horizontal="center" vertical="center"/>
    </xf>
    <xf borderId="86" fillId="4" fontId="5" numFmtId="0" xfId="0" applyAlignment="1" applyBorder="1" applyFill="1" applyFont="1">
      <alignment horizontal="center" vertical="center"/>
    </xf>
    <xf borderId="50" fillId="4" fontId="5" numFmtId="0" xfId="0" applyAlignment="1" applyBorder="1" applyFill="1" applyFont="1">
      <alignment horizontal="center" vertical="center"/>
    </xf>
    <xf borderId="87" fillId="4" fontId="20" numFmtId="1" xfId="0" applyAlignment="1" applyBorder="1" applyFill="1" applyFont="1" applyNumberFormat="1">
      <alignment horizontal="center" vertical="center"/>
    </xf>
    <xf borderId="72" fillId="4" fontId="20" numFmtId="0" xfId="0" applyAlignment="1" applyBorder="1" applyFill="1" applyFont="1">
      <alignment horizontal="center" vertical="center"/>
    </xf>
    <xf borderId="0" fillId="0" fontId="24" numFmtId="0" xfId="0" applyAlignment="1" applyFont="1">
      <alignment horizontal="center" vertical="center"/>
    </xf>
    <xf borderId="88" fillId="4" fontId="5" numFmtId="0" xfId="0" applyAlignment="1" applyBorder="1" applyFill="1" applyFont="1">
      <alignment horizontal="center" vertical="center"/>
    </xf>
    <xf borderId="76" fillId="4" fontId="5" numFmtId="0" xfId="0" applyAlignment="1" applyBorder="1" applyFill="1" applyFont="1">
      <alignment horizontal="center" vertical="center"/>
    </xf>
    <xf borderId="18" fillId="4" fontId="20" numFmtId="1" xfId="0" applyAlignment="1" applyBorder="1" applyFill="1" applyFont="1" applyNumberFormat="1">
      <alignment horizontal="center" vertical="center"/>
    </xf>
    <xf borderId="75" fillId="4" fontId="20" numFmtId="0" xfId="0" applyAlignment="1" applyBorder="1" applyFill="1" applyFont="1">
      <alignment horizontal="center" vertical="center"/>
    </xf>
    <xf borderId="0" fillId="0" fontId="24" numFmtId="0" xfId="0" applyFont="1"/>
    <xf borderId="54" fillId="0" fontId="18" numFmtId="0" xfId="0" applyAlignment="1" applyBorder="1" applyFont="1">
      <alignment horizontal="center" vertical="center"/>
    </xf>
    <xf borderId="55" fillId="0" fontId="18" numFmtId="0" xfId="0" applyAlignment="1" applyBorder="1" applyFont="1">
      <alignment horizontal="center" vertical="center"/>
    </xf>
    <xf borderId="59" fillId="0" fontId="18" numFmtId="0" xfId="0" applyAlignment="1" applyBorder="1" applyFont="1">
      <alignment horizontal="center" vertical="center"/>
    </xf>
    <xf borderId="89" fillId="0" fontId="20" numFmtId="1" xfId="0" applyAlignment="1" applyBorder="1" applyFont="1" applyNumberFormat="1">
      <alignment horizontal="center" vertical="center"/>
    </xf>
    <xf borderId="58" fillId="0" fontId="20" numFmtId="0" xfId="0" applyAlignment="1" applyBorder="1" applyFont="1">
      <alignment horizontal="center" vertical="center"/>
    </xf>
    <xf borderId="90" fillId="10" fontId="7" numFmtId="0" xfId="0" applyBorder="1" applyFill="1" applyFont="1"/>
    <xf borderId="47" fillId="14" fontId="14" numFmtId="0" xfId="0" applyAlignment="1" applyBorder="1" applyFill="1" applyFont="1">
      <alignment horizontal="center"/>
    </xf>
    <xf borderId="91" fillId="4" fontId="10" numFmtId="0" xfId="0" applyAlignment="1" applyBorder="1" applyFill="1" applyFont="1">
      <alignment horizontal="left"/>
    </xf>
    <xf borderId="92" fillId="0" fontId="3" numFmtId="0" xfId="0" applyBorder="1" applyFont="1"/>
    <xf borderId="93" fillId="0" fontId="3" numFmtId="0" xfId="0" applyBorder="1" applyFont="1"/>
    <xf borderId="94" fillId="8" fontId="19" numFmtId="0" xfId="0" applyAlignment="1" applyBorder="1" applyFill="1" applyFont="1">
      <alignment horizontal="center" vertical="center"/>
    </xf>
    <xf borderId="48" fillId="8" fontId="19" numFmtId="4" xfId="0" applyAlignment="1" applyBorder="1" applyFill="1" applyFont="1" applyNumberFormat="1">
      <alignment horizontal="center" vertical="center"/>
    </xf>
    <xf borderId="49" fillId="8" fontId="19" numFmtId="4" xfId="0" applyAlignment="1" applyBorder="1" applyFill="1" applyFont="1" applyNumberFormat="1">
      <alignment horizontal="center" vertical="center"/>
    </xf>
    <xf borderId="94" fillId="8" fontId="19" numFmtId="4" xfId="0" applyAlignment="1" applyBorder="1" applyFill="1" applyFont="1" applyNumberFormat="1">
      <alignment horizontal="center" vertical="center"/>
    </xf>
    <xf borderId="47" fillId="8" fontId="19" numFmtId="4" xfId="0" applyAlignment="1" applyBorder="1" applyFill="1" applyFont="1" applyNumberFormat="1">
      <alignment horizontal="center" vertical="center"/>
    </xf>
    <xf borderId="51" fillId="8" fontId="19" numFmtId="4" xfId="0" applyAlignment="1" applyBorder="1" applyFill="1" applyFont="1" applyNumberFormat="1">
      <alignment horizontal="center" vertical="center"/>
    </xf>
    <xf borderId="87" fillId="5" fontId="19" numFmtId="4" xfId="0" applyAlignment="1" applyBorder="1" applyFill="1" applyFont="1" applyNumberFormat="1">
      <alignment horizontal="center" vertical="center"/>
    </xf>
    <xf borderId="73" fillId="14" fontId="14" numFmtId="0" xfId="0" applyAlignment="1" applyBorder="1" applyFill="1" applyFont="1">
      <alignment horizontal="center"/>
    </xf>
    <xf borderId="23" fillId="4" fontId="10" numFmtId="0" xfId="0" applyAlignment="1" applyBorder="1" applyFill="1" applyFont="1">
      <alignment horizontal="left"/>
    </xf>
    <xf borderId="95" fillId="0" fontId="3" numFmtId="0" xfId="0" applyBorder="1" applyFont="1"/>
    <xf borderId="96" fillId="0" fontId="3" numFmtId="0" xfId="0" applyBorder="1" applyFont="1"/>
    <xf borderId="29" fillId="4" fontId="10" numFmtId="0" xfId="0" applyAlignment="1" applyBorder="1" applyFill="1" applyFont="1">
      <alignment vertical="center"/>
    </xf>
    <xf borderId="97" fillId="0" fontId="3" numFmtId="0" xfId="0" applyBorder="1" applyFont="1"/>
    <xf borderId="98" fillId="0" fontId="3" numFmtId="0" xfId="0" applyBorder="1" applyFont="1"/>
    <xf borderId="99" fillId="4" fontId="5" numFmtId="0" xfId="0" applyAlignment="1" applyBorder="1" applyFill="1" applyFont="1">
      <alignment horizontal="center" vertical="center"/>
    </xf>
    <xf borderId="58" fillId="4" fontId="5" numFmtId="0" xfId="0" applyAlignment="1" applyBorder="1" applyFill="1" applyFont="1">
      <alignment horizontal="center" vertical="center"/>
    </xf>
    <xf borderId="78" fillId="4" fontId="20" numFmtId="1" xfId="0" applyAlignment="1" applyBorder="1" applyFill="1" applyFont="1" applyNumberFormat="1">
      <alignment horizontal="center" vertical="center"/>
    </xf>
    <xf borderId="89" fillId="4" fontId="20" numFmtId="0" xfId="0" applyAlignment="1" applyBorder="1" applyFill="1" applyFont="1">
      <alignment horizontal="center" vertical="center"/>
    </xf>
    <xf borderId="61" fillId="14" fontId="14" numFmtId="0" xfId="0" applyAlignment="1" applyBorder="1" applyFill="1" applyFont="1">
      <alignment horizontal="center"/>
    </xf>
    <xf borderId="100" fillId="4" fontId="5" numFmtId="0" xfId="0" applyAlignment="1" applyBorder="1" applyFill="1" applyFont="1">
      <alignment horizontal="center" vertical="center"/>
    </xf>
    <xf borderId="85" fillId="14" fontId="14" numFmtId="0" xfId="0" applyAlignment="1" applyBorder="1" applyFill="1" applyFont="1">
      <alignment horizontal="center"/>
    </xf>
    <xf borderId="50" fillId="4" fontId="20" numFmtId="0" xfId="0" applyAlignment="1" applyBorder="1" applyFill="1" applyFont="1">
      <alignment horizontal="center" vertical="center"/>
    </xf>
    <xf borderId="76" fillId="4" fontId="20" numFmtId="0" xfId="0" applyAlignment="1" applyBorder="1" applyFill="1" applyFont="1">
      <alignment horizontal="center" vertical="center"/>
    </xf>
    <xf borderId="73" fillId="0" fontId="18" numFmtId="0" xfId="0" applyAlignment="1" applyBorder="1" applyFont="1">
      <alignment horizontal="center" readingOrder="0" vertical="center"/>
    </xf>
    <xf borderId="26" fillId="0" fontId="18" numFmtId="0" xfId="0" applyAlignment="1" applyBorder="1" applyFont="1">
      <alignment horizontal="center" readingOrder="0" vertical="center"/>
    </xf>
    <xf borderId="74" fillId="0" fontId="18" numFmtId="0" xfId="0" applyAlignment="1" applyBorder="1" applyFont="1">
      <alignment horizontal="center" readingOrder="0" vertical="center"/>
    </xf>
    <xf borderId="54" fillId="14" fontId="14" numFmtId="0" xfId="0" applyAlignment="1" applyBorder="1" applyFill="1" applyFont="1">
      <alignment horizontal="center"/>
    </xf>
    <xf borderId="56" fillId="4" fontId="10" numFmtId="0" xfId="0" applyAlignment="1" applyBorder="1" applyFill="1" applyFont="1">
      <alignment horizontal="left"/>
    </xf>
    <xf borderId="101" fillId="0" fontId="3" numFmtId="0" xfId="0" applyBorder="1" applyFont="1"/>
    <xf borderId="102" fillId="0" fontId="3" numFmtId="0" xfId="0" applyBorder="1" applyFont="1"/>
    <xf borderId="103" fillId="8" fontId="19" numFmtId="0" xfId="0" applyAlignment="1" applyBorder="1" applyFill="1" applyFont="1">
      <alignment horizontal="center" vertical="center"/>
    </xf>
    <xf borderId="55" fillId="8" fontId="19" numFmtId="4" xfId="0" applyAlignment="1" applyBorder="1" applyFill="1" applyFont="1" applyNumberFormat="1">
      <alignment horizontal="center" vertical="center"/>
    </xf>
    <xf borderId="104" fillId="8" fontId="19" numFmtId="4" xfId="0" applyAlignment="1" applyBorder="1" applyFill="1" applyFont="1" applyNumberFormat="1">
      <alignment horizontal="center" vertical="center"/>
    </xf>
    <xf borderId="103" fillId="8" fontId="19" numFmtId="4" xfId="0" applyAlignment="1" applyBorder="1" applyFill="1" applyFont="1" applyNumberFormat="1">
      <alignment horizontal="center" vertical="center"/>
    </xf>
    <xf borderId="54" fillId="8" fontId="19" numFmtId="4" xfId="0" applyAlignment="1" applyBorder="1" applyFill="1" applyFont="1" applyNumberFormat="1">
      <alignment horizontal="center" vertical="center"/>
    </xf>
    <xf borderId="59" fillId="8" fontId="19" numFmtId="4" xfId="0" applyAlignment="1" applyBorder="1" applyFill="1" applyFont="1" applyNumberFormat="1">
      <alignment horizontal="center" vertical="center"/>
    </xf>
    <xf borderId="78" fillId="5" fontId="19" numFmtId="4" xfId="0" applyAlignment="1" applyBorder="1" applyFill="1" applyFont="1" applyNumberFormat="1">
      <alignment horizontal="center" vertical="center"/>
    </xf>
    <xf borderId="56" fillId="4" fontId="10" numFmtId="0" xfId="0" applyAlignment="1" applyBorder="1" applyFill="1" applyFont="1">
      <alignment vertical="center"/>
    </xf>
    <xf borderId="58" fillId="4" fontId="20" numFmtId="0" xfId="0" applyAlignment="1" applyBorder="1" applyFill="1" applyFont="1">
      <alignment horizontal="center" vertical="center"/>
    </xf>
    <xf borderId="0" fillId="0" fontId="5" numFmtId="0" xfId="0" applyAlignment="1" applyFont="1">
      <alignment horizontal="center"/>
    </xf>
    <xf borderId="0" fillId="0" fontId="25" numFmtId="0" xfId="0" applyFont="1"/>
    <xf borderId="0" fillId="0" fontId="26" numFmtId="0" xfId="0" applyFont="1"/>
    <xf borderId="0" fillId="0" fontId="27" numFmtId="0" xfId="0" applyFont="1"/>
    <xf borderId="29" fillId="15" fontId="28" numFmtId="0" xfId="0" applyAlignment="1" applyBorder="1" applyFill="1" applyFont="1">
      <alignment horizontal="center"/>
    </xf>
    <xf borderId="0" fillId="0" fontId="29" numFmtId="0" xfId="0" applyFont="1"/>
    <xf borderId="90" fillId="16" fontId="28" numFmtId="0" xfId="0" applyAlignment="1" applyBorder="1" applyFill="1" applyFont="1">
      <alignment horizontal="center"/>
    </xf>
    <xf borderId="105" fillId="0" fontId="29" numFmtId="0" xfId="0" applyAlignment="1" applyBorder="1" applyFont="1">
      <alignment horizontal="center"/>
    </xf>
    <xf borderId="106" fillId="0" fontId="29" numFmtId="0" xfId="0" applyAlignment="1" applyBorder="1" applyFont="1">
      <alignment horizontal="center"/>
    </xf>
    <xf borderId="107" fillId="0" fontId="29" numFmtId="0" xfId="0" applyAlignment="1" applyBorder="1" applyFont="1">
      <alignment horizontal="center"/>
    </xf>
    <xf borderId="108" fillId="0" fontId="29" numFmtId="0" xfId="0" applyAlignment="1" applyBorder="1" applyFont="1">
      <alignment horizontal="center"/>
    </xf>
    <xf borderId="109" fillId="0" fontId="29" numFmtId="0" xfId="0" applyAlignment="1" applyBorder="1" applyFont="1">
      <alignment horizontal="center"/>
    </xf>
    <xf borderId="110" fillId="0" fontId="29" numFmtId="0" xfId="0" applyAlignment="1" applyBorder="1" applyFont="1">
      <alignment horizontal="center" shrinkToFit="0" vertical="center" wrapText="1"/>
    </xf>
    <xf borderId="111" fillId="0" fontId="30" numFmtId="2" xfId="0" applyAlignment="1" applyBorder="1" applyFont="1" applyNumberFormat="1">
      <alignment horizontal="center"/>
    </xf>
    <xf borderId="112" fillId="0" fontId="30" numFmtId="0" xfId="0" applyAlignment="1" applyBorder="1" applyFont="1">
      <alignment horizontal="center"/>
    </xf>
    <xf borderId="113" fillId="0" fontId="30" numFmtId="0" xfId="0" applyAlignment="1" applyBorder="1" applyFont="1">
      <alignment horizontal="center"/>
    </xf>
    <xf borderId="114" fillId="0" fontId="30" numFmtId="0" xfId="0" applyAlignment="1" applyBorder="1" applyFont="1">
      <alignment horizontal="center"/>
    </xf>
    <xf borderId="115" fillId="0" fontId="8" numFmtId="0" xfId="0" applyAlignment="1" applyBorder="1" applyFont="1">
      <alignment horizontal="center"/>
    </xf>
    <xf borderId="116" fillId="0" fontId="11" numFmtId="0" xfId="0" applyAlignment="1" applyBorder="1" applyFont="1">
      <alignment horizontal="center" shrinkToFit="0" vertical="center" wrapText="1"/>
    </xf>
    <xf borderId="117" fillId="0" fontId="30" numFmtId="0" xfId="0" applyAlignment="1" applyBorder="1" applyFont="1">
      <alignment horizontal="center"/>
    </xf>
    <xf borderId="118" fillId="0" fontId="30" numFmtId="0" xfId="0" applyAlignment="1" applyBorder="1" applyFont="1">
      <alignment horizontal="center"/>
    </xf>
    <xf borderId="119" fillId="0" fontId="30" numFmtId="0" xfId="0" applyAlignment="1" applyBorder="1" applyFont="1">
      <alignment horizontal="center"/>
    </xf>
    <xf borderId="120" fillId="0" fontId="30" numFmtId="0" xfId="0" applyAlignment="1" applyBorder="1" applyFont="1">
      <alignment horizontal="center"/>
    </xf>
    <xf borderId="121" fillId="0" fontId="8" numFmtId="0" xfId="0" applyAlignment="1" applyBorder="1" applyFont="1">
      <alignment horizontal="center"/>
    </xf>
    <xf borderId="116" fillId="0" fontId="3" numFmtId="0" xfId="0" applyBorder="1" applyFont="1"/>
    <xf borderId="117" fillId="0" fontId="30" numFmtId="2" xfId="0" applyAlignment="1" applyBorder="1" applyFont="1" applyNumberFormat="1">
      <alignment horizontal="center"/>
    </xf>
    <xf borderId="122" fillId="0" fontId="3" numFmtId="0" xfId="0" applyBorder="1" applyFont="1"/>
    <xf borderId="123" fillId="0" fontId="11" numFmtId="0" xfId="0" applyAlignment="1" applyBorder="1" applyFont="1">
      <alignment horizontal="center" shrinkToFit="0" vertical="center" wrapText="1"/>
    </xf>
    <xf borderId="117" fillId="17" fontId="30" numFmtId="0" xfId="0" applyAlignment="1" applyBorder="1" applyFill="1" applyFont="1">
      <alignment horizontal="center"/>
    </xf>
    <xf borderId="118" fillId="17" fontId="30" numFmtId="0" xfId="0" applyAlignment="1" applyBorder="1" applyFill="1" applyFont="1">
      <alignment horizontal="center"/>
    </xf>
    <xf borderId="119" fillId="17" fontId="30" numFmtId="0" xfId="0" applyAlignment="1" applyBorder="1" applyFill="1" applyFont="1">
      <alignment horizontal="center"/>
    </xf>
    <xf borderId="118" fillId="0" fontId="30" numFmtId="2" xfId="0" applyAlignment="1" applyBorder="1" applyFont="1" applyNumberFormat="1">
      <alignment horizontal="center"/>
    </xf>
    <xf borderId="124" fillId="0" fontId="30" numFmtId="0" xfId="0" applyAlignment="1" applyBorder="1" applyFont="1">
      <alignment horizontal="center"/>
    </xf>
    <xf borderId="125" fillId="0" fontId="30" numFmtId="0" xfId="0" applyAlignment="1" applyBorder="1" applyFont="1">
      <alignment horizontal="center"/>
    </xf>
    <xf borderId="126" fillId="0" fontId="30" numFmtId="0" xfId="0" applyAlignment="1" applyBorder="1" applyFont="1">
      <alignment horizontal="center"/>
    </xf>
    <xf borderId="127" fillId="0" fontId="30" numFmtId="0" xfId="0" applyAlignment="1" applyBorder="1" applyFont="1">
      <alignment horizontal="center"/>
    </xf>
    <xf borderId="128" fillId="0" fontId="8" numFmtId="0" xfId="0" applyAlignment="1" applyBorder="1" applyFont="1">
      <alignment horizontal="center"/>
    </xf>
    <xf borderId="129" fillId="0" fontId="3" numFmtId="0" xfId="0" applyBorder="1" applyFont="1"/>
    <xf borderId="0" fillId="0" fontId="1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1219200</xdr:colOff>
      <xdr:row>0</xdr:row>
      <xdr:rowOff>0</xdr:rowOff>
    </xdr:from>
    <xdr:ext cx="1885950" cy="962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0</xdr:row>
      <xdr:rowOff>0</xdr:rowOff>
    </xdr:from>
    <xdr:ext cx="1000125" cy="962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38100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1133475</xdr:colOff>
      <xdr:row>0</xdr:row>
      <xdr:rowOff>0</xdr:rowOff>
    </xdr:from>
    <xdr:ext cx="1314450" cy="6572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88"/>
    <col customWidth="1" min="3" max="3" width="19.63"/>
    <col customWidth="1" min="4" max="4" width="2.13"/>
    <col customWidth="1" min="5" max="5" width="18.88"/>
    <col customWidth="1" min="6" max="6" width="30.38"/>
    <col customWidth="1" min="7" max="10" width="3.88"/>
    <col customWidth="1" min="11" max="11" width="37.63"/>
    <col customWidth="1" min="12" max="13" width="3.88"/>
    <col customWidth="1" min="14" max="14" width="37.63"/>
    <col customWidth="1" min="15" max="16" width="3.88"/>
  </cols>
  <sheetData>
    <row r="1" ht="15.75" customHeight="1">
      <c r="A1" s="1" t="s">
        <v>0</v>
      </c>
      <c r="B1" s="3"/>
      <c r="C1" s="3"/>
      <c r="D1" s="3"/>
      <c r="E1" s="3"/>
      <c r="F1" s="3"/>
      <c r="G1" s="3"/>
      <c r="H1" s="3"/>
      <c r="I1" s="3"/>
      <c r="J1" s="3"/>
      <c r="K1" s="3"/>
      <c r="L1" s="3"/>
      <c r="M1" s="3"/>
      <c r="N1" s="3"/>
      <c r="O1" s="3"/>
      <c r="P1" s="5"/>
      <c r="Q1" s="6"/>
    </row>
    <row r="2" ht="15.75" customHeight="1">
      <c r="A2" s="7"/>
      <c r="P2" s="8"/>
      <c r="Q2" s="6"/>
    </row>
    <row r="3" ht="15.75" customHeight="1">
      <c r="A3" s="7"/>
      <c r="P3" s="8"/>
      <c r="Q3" s="6"/>
    </row>
    <row r="4" ht="15.75" customHeight="1">
      <c r="A4" s="7"/>
      <c r="P4" s="8"/>
      <c r="Q4" s="6"/>
    </row>
    <row r="5" ht="15.75" customHeight="1">
      <c r="A5" s="9"/>
      <c r="B5" s="10"/>
      <c r="C5" s="10"/>
      <c r="D5" s="10"/>
      <c r="E5" s="10"/>
      <c r="F5" s="10"/>
      <c r="G5" s="10"/>
      <c r="H5" s="10"/>
      <c r="I5" s="10"/>
      <c r="J5" s="10"/>
      <c r="K5" s="10"/>
      <c r="L5" s="10"/>
      <c r="M5" s="10"/>
      <c r="N5" s="10"/>
      <c r="O5" s="10"/>
      <c r="P5" s="11"/>
      <c r="Q5" s="6"/>
    </row>
    <row r="6" ht="15.75" customHeight="1">
      <c r="A6" s="12"/>
      <c r="B6" s="12"/>
      <c r="C6" s="12"/>
      <c r="D6" s="12"/>
      <c r="E6" s="12"/>
      <c r="F6" s="12"/>
      <c r="G6" s="12"/>
      <c r="H6" s="12"/>
      <c r="I6" s="12"/>
      <c r="J6" s="12"/>
      <c r="K6" s="12"/>
      <c r="L6" s="12"/>
      <c r="M6" s="12"/>
      <c r="N6" s="12"/>
      <c r="O6" s="12"/>
      <c r="P6" s="12"/>
      <c r="Q6" s="6"/>
    </row>
    <row r="7" ht="15.75" customHeight="1">
      <c r="A7" s="12"/>
      <c r="B7" s="15" t="s">
        <v>2</v>
      </c>
      <c r="C7" s="16"/>
      <c r="D7" s="16"/>
      <c r="E7" s="16"/>
      <c r="F7" s="16"/>
      <c r="G7" s="17"/>
      <c r="H7" s="12"/>
      <c r="I7" s="15" t="s">
        <v>3</v>
      </c>
      <c r="J7" s="16"/>
      <c r="K7" s="16"/>
      <c r="L7" s="16"/>
      <c r="M7" s="16"/>
      <c r="N7" s="16"/>
      <c r="O7" s="17"/>
      <c r="P7" s="12"/>
      <c r="Q7" s="6"/>
    </row>
    <row r="8" ht="15.75" customHeight="1">
      <c r="A8" s="12"/>
      <c r="B8" s="18"/>
      <c r="C8" s="10"/>
      <c r="D8" s="10"/>
      <c r="E8" s="10"/>
      <c r="F8" s="10"/>
      <c r="G8" s="19"/>
      <c r="H8" s="12"/>
      <c r="I8" s="18"/>
      <c r="J8" s="10"/>
      <c r="K8" s="10"/>
      <c r="L8" s="10"/>
      <c r="M8" s="10"/>
      <c r="N8" s="10"/>
      <c r="O8" s="19"/>
      <c r="P8" s="12"/>
      <c r="Q8" s="6"/>
    </row>
    <row r="9" ht="15.75" customHeight="1">
      <c r="A9" s="6"/>
      <c r="B9" s="20"/>
      <c r="C9" s="22"/>
      <c r="D9" s="22"/>
      <c r="E9" s="22"/>
      <c r="F9" s="22"/>
      <c r="G9" s="23"/>
      <c r="H9" s="6"/>
      <c r="I9" s="20"/>
      <c r="J9" s="22"/>
      <c r="K9" s="22"/>
      <c r="L9" s="22"/>
      <c r="M9" s="22"/>
      <c r="N9" s="22"/>
      <c r="O9" s="23"/>
      <c r="P9" s="6"/>
      <c r="Q9" s="6"/>
    </row>
    <row r="10" ht="15.75" customHeight="1">
      <c r="A10" s="6"/>
      <c r="B10" s="20"/>
      <c r="C10" s="24" t="s">
        <v>4</v>
      </c>
      <c r="D10" s="25" t="s">
        <v>5</v>
      </c>
      <c r="E10" s="26"/>
      <c r="F10" s="27"/>
      <c r="G10" s="23"/>
      <c r="H10" s="6"/>
      <c r="I10" s="20"/>
      <c r="J10" s="30" t="s">
        <v>6</v>
      </c>
      <c r="K10" s="27"/>
      <c r="L10" s="22"/>
      <c r="M10" s="30" t="s">
        <v>7</v>
      </c>
      <c r="N10" s="27"/>
      <c r="O10" s="23"/>
      <c r="P10" s="6"/>
      <c r="Q10" s="6"/>
    </row>
    <row r="11" ht="15.75" customHeight="1">
      <c r="A11" s="6"/>
      <c r="B11" s="20"/>
      <c r="C11" s="24" t="s">
        <v>8</v>
      </c>
      <c r="D11" s="25" t="s">
        <v>5</v>
      </c>
      <c r="E11" s="32"/>
      <c r="F11" s="33"/>
      <c r="G11" s="23"/>
      <c r="H11" s="6"/>
      <c r="I11" s="20"/>
      <c r="J11" s="34">
        <v>1.0</v>
      </c>
      <c r="K11" s="35"/>
      <c r="L11" s="22"/>
      <c r="M11" s="34">
        <v>1.0</v>
      </c>
      <c r="N11" s="35"/>
      <c r="O11" s="23"/>
      <c r="P11" s="6"/>
      <c r="Q11" s="6"/>
    </row>
    <row r="12" ht="15.75" customHeight="1">
      <c r="A12" s="6"/>
      <c r="B12" s="20"/>
      <c r="C12" s="22"/>
      <c r="D12" s="22"/>
      <c r="E12" s="37"/>
      <c r="F12" s="37"/>
      <c r="G12" s="23"/>
      <c r="H12" s="6"/>
      <c r="I12" s="20"/>
      <c r="J12" s="34">
        <v>2.0</v>
      </c>
      <c r="K12" s="35"/>
      <c r="L12" s="22"/>
      <c r="M12" s="34">
        <v>2.0</v>
      </c>
      <c r="N12" s="35"/>
      <c r="O12" s="23"/>
      <c r="P12" s="6"/>
      <c r="Q12" s="6"/>
    </row>
    <row r="13" ht="15.75" customHeight="1">
      <c r="A13" s="6"/>
      <c r="B13" s="20"/>
      <c r="C13" s="39" t="s">
        <v>9</v>
      </c>
      <c r="D13" s="40" t="s">
        <v>5</v>
      </c>
      <c r="E13" s="41"/>
      <c r="F13" s="27"/>
      <c r="G13" s="23"/>
      <c r="H13" s="6"/>
      <c r="I13" s="20"/>
      <c r="J13" s="34">
        <v>3.0</v>
      </c>
      <c r="K13" s="35"/>
      <c r="L13" s="22"/>
      <c r="M13" s="34">
        <v>3.0</v>
      </c>
      <c r="N13" s="35"/>
      <c r="O13" s="23"/>
      <c r="P13" s="6"/>
      <c r="Q13" s="6"/>
    </row>
    <row r="14" ht="15.75" customHeight="1">
      <c r="A14" s="6"/>
      <c r="B14" s="20"/>
      <c r="C14" s="42" t="s">
        <v>10</v>
      </c>
      <c r="D14" s="43" t="s">
        <v>5</v>
      </c>
      <c r="E14" s="44"/>
      <c r="F14" s="45"/>
      <c r="G14" s="23"/>
      <c r="H14" s="6"/>
      <c r="I14" s="20"/>
      <c r="J14" s="34">
        <v>4.0</v>
      </c>
      <c r="K14" s="35"/>
      <c r="L14" s="22"/>
      <c r="M14" s="34">
        <v>4.0</v>
      </c>
      <c r="N14" s="35"/>
      <c r="O14" s="23"/>
      <c r="P14" s="6"/>
      <c r="Q14" s="6"/>
    </row>
    <row r="15" ht="15.75" customHeight="1">
      <c r="A15" s="6"/>
      <c r="B15" s="20"/>
      <c r="C15" s="39" t="s">
        <v>11</v>
      </c>
      <c r="D15" s="40" t="s">
        <v>5</v>
      </c>
      <c r="E15" s="26"/>
      <c r="F15" s="27"/>
      <c r="G15" s="23"/>
      <c r="H15" s="6"/>
      <c r="I15" s="20"/>
      <c r="J15" s="34">
        <v>5.0</v>
      </c>
      <c r="K15" s="35"/>
      <c r="L15" s="22"/>
      <c r="M15" s="34">
        <v>5.0</v>
      </c>
      <c r="N15" s="35"/>
      <c r="O15" s="23"/>
      <c r="P15" s="6"/>
      <c r="Q15" s="6"/>
    </row>
    <row r="16" ht="15.75" customHeight="1">
      <c r="A16" s="6"/>
      <c r="B16" s="20"/>
      <c r="C16" s="39" t="s">
        <v>13</v>
      </c>
      <c r="D16" s="40" t="s">
        <v>5</v>
      </c>
      <c r="E16" s="41"/>
      <c r="F16" s="27"/>
      <c r="G16" s="23"/>
      <c r="H16" s="6"/>
      <c r="I16" s="20"/>
      <c r="J16" s="34">
        <v>6.0</v>
      </c>
      <c r="K16" s="35"/>
      <c r="L16" s="22"/>
      <c r="M16" s="34">
        <v>6.0</v>
      </c>
      <c r="N16" s="35"/>
      <c r="O16" s="23"/>
      <c r="P16" s="6"/>
      <c r="Q16" s="6"/>
    </row>
    <row r="17" ht="15.75" customHeight="1">
      <c r="A17" s="6"/>
      <c r="B17" s="53"/>
      <c r="C17" s="56"/>
      <c r="D17" s="56"/>
      <c r="E17" s="56"/>
      <c r="F17" s="56"/>
      <c r="G17" s="58"/>
      <c r="H17" s="6"/>
      <c r="I17" s="20"/>
      <c r="J17" s="34">
        <v>7.0</v>
      </c>
      <c r="K17" s="35"/>
      <c r="L17" s="22"/>
      <c r="M17" s="34">
        <v>7.0</v>
      </c>
      <c r="N17" s="35"/>
      <c r="O17" s="23"/>
      <c r="P17" s="6"/>
      <c r="Q17" s="6"/>
    </row>
    <row r="18" ht="15.75" customHeight="1">
      <c r="A18" s="6"/>
      <c r="B18" s="6"/>
      <c r="C18" s="6"/>
      <c r="D18" s="6"/>
      <c r="E18" s="6"/>
      <c r="F18" s="6"/>
      <c r="G18" s="6"/>
      <c r="H18" s="6"/>
      <c r="I18" s="20"/>
      <c r="J18" s="34">
        <v>8.0</v>
      </c>
      <c r="K18" s="35"/>
      <c r="L18" s="22"/>
      <c r="M18" s="34">
        <v>8.0</v>
      </c>
      <c r="N18" s="35"/>
      <c r="O18" s="23"/>
      <c r="P18" s="6"/>
      <c r="Q18" s="6"/>
    </row>
    <row r="19" ht="15.75" customHeight="1">
      <c r="A19" s="6"/>
      <c r="B19" s="6"/>
      <c r="C19" s="6"/>
      <c r="D19" s="6"/>
      <c r="E19" s="6"/>
      <c r="F19" s="6"/>
      <c r="G19" s="6"/>
      <c r="H19" s="6"/>
      <c r="I19" s="20"/>
      <c r="J19" s="34">
        <v>9.0</v>
      </c>
      <c r="K19" s="35"/>
      <c r="L19" s="22"/>
      <c r="M19" s="34">
        <v>9.0</v>
      </c>
      <c r="N19" s="35"/>
      <c r="O19" s="23"/>
      <c r="P19" s="6"/>
      <c r="Q19" s="6"/>
    </row>
    <row r="20" ht="15.75" customHeight="1">
      <c r="A20" s="6"/>
      <c r="B20" s="15" t="s">
        <v>20</v>
      </c>
      <c r="C20" s="16"/>
      <c r="D20" s="16"/>
      <c r="E20" s="16"/>
      <c r="F20" s="16"/>
      <c r="G20" s="17"/>
      <c r="H20" s="6"/>
      <c r="I20" s="20"/>
      <c r="J20" s="34">
        <v>10.0</v>
      </c>
      <c r="K20" s="35"/>
      <c r="L20" s="22"/>
      <c r="M20" s="34">
        <v>10.0</v>
      </c>
      <c r="N20" s="35"/>
      <c r="O20" s="23"/>
      <c r="P20" s="6"/>
      <c r="Q20" s="6"/>
    </row>
    <row r="21" ht="15.75" customHeight="1">
      <c r="A21" s="6"/>
      <c r="B21" s="18"/>
      <c r="C21" s="10"/>
      <c r="D21" s="10"/>
      <c r="E21" s="10"/>
      <c r="F21" s="10"/>
      <c r="G21" s="19"/>
      <c r="H21" s="6"/>
      <c r="I21" s="20"/>
      <c r="J21" s="34">
        <v>11.0</v>
      </c>
      <c r="K21" s="35"/>
      <c r="L21" s="22"/>
      <c r="M21" s="34">
        <v>11.0</v>
      </c>
      <c r="N21" s="35"/>
      <c r="O21" s="23"/>
      <c r="P21" s="6"/>
      <c r="Q21" s="6"/>
    </row>
    <row r="22" ht="15.75" customHeight="1">
      <c r="A22" s="6"/>
      <c r="B22" s="20"/>
      <c r="C22" s="22"/>
      <c r="D22" s="22"/>
      <c r="E22" s="22"/>
      <c r="F22" s="22"/>
      <c r="G22" s="23"/>
      <c r="H22" s="6"/>
      <c r="I22" s="20"/>
      <c r="J22" s="34">
        <v>12.0</v>
      </c>
      <c r="K22" s="35"/>
      <c r="L22" s="22"/>
      <c r="M22" s="34">
        <v>12.0</v>
      </c>
      <c r="N22" s="35"/>
      <c r="O22" s="23"/>
      <c r="P22" s="6"/>
      <c r="Q22" s="6"/>
    </row>
    <row r="23" ht="15.75" customHeight="1">
      <c r="A23" s="6"/>
      <c r="B23" s="20"/>
      <c r="C23" s="69" t="s">
        <v>25</v>
      </c>
      <c r="D23" s="70" t="s">
        <v>5</v>
      </c>
      <c r="E23" s="41"/>
      <c r="F23" s="27"/>
      <c r="G23" s="23"/>
      <c r="H23" s="6"/>
      <c r="I23" s="20"/>
      <c r="J23" s="34">
        <v>13.0</v>
      </c>
      <c r="K23" s="35"/>
      <c r="L23" s="22"/>
      <c r="M23" s="34">
        <v>13.0</v>
      </c>
      <c r="N23" s="35"/>
      <c r="O23" s="23"/>
      <c r="P23" s="6"/>
      <c r="Q23" s="6"/>
    </row>
    <row r="24" ht="15.75" customHeight="1">
      <c r="A24" s="6"/>
      <c r="B24" s="20"/>
      <c r="C24" s="69" t="s">
        <v>18</v>
      </c>
      <c r="D24" s="70" t="s">
        <v>5</v>
      </c>
      <c r="E24" s="26"/>
      <c r="F24" s="27"/>
      <c r="G24" s="23"/>
      <c r="H24" s="6"/>
      <c r="I24" s="20"/>
      <c r="J24" s="34">
        <v>14.0</v>
      </c>
      <c r="K24" s="35"/>
      <c r="L24" s="22"/>
      <c r="M24" s="34">
        <v>14.0</v>
      </c>
      <c r="N24" s="35"/>
      <c r="O24" s="23"/>
      <c r="P24" s="6"/>
      <c r="Q24" s="6"/>
    </row>
    <row r="25" ht="15.75" customHeight="1">
      <c r="A25" s="6"/>
      <c r="B25" s="20"/>
      <c r="C25" s="24" t="s">
        <v>15</v>
      </c>
      <c r="D25" s="25" t="s">
        <v>5</v>
      </c>
      <c r="E25" s="41"/>
      <c r="F25" s="27"/>
      <c r="G25" s="23"/>
      <c r="H25" s="6"/>
      <c r="I25" s="20"/>
      <c r="J25" s="34">
        <v>15.0</v>
      </c>
      <c r="K25" s="35"/>
      <c r="L25" s="22"/>
      <c r="M25" s="34">
        <v>15.0</v>
      </c>
      <c r="N25" s="35"/>
      <c r="O25" s="23"/>
      <c r="P25" s="6"/>
      <c r="Q25" s="6"/>
    </row>
    <row r="26" ht="15.75" customHeight="1">
      <c r="A26" s="6"/>
      <c r="B26" s="20"/>
      <c r="C26" s="79" t="s">
        <v>19</v>
      </c>
      <c r="D26" s="80" t="s">
        <v>5</v>
      </c>
      <c r="E26" s="41"/>
      <c r="F26" s="27"/>
      <c r="G26" s="23"/>
      <c r="H26" s="6"/>
      <c r="I26" s="20"/>
      <c r="J26" s="34">
        <v>16.0</v>
      </c>
      <c r="K26" s="35"/>
      <c r="L26" s="22"/>
      <c r="M26" s="34">
        <v>16.0</v>
      </c>
      <c r="N26" s="35"/>
      <c r="O26" s="23"/>
      <c r="P26" s="6"/>
      <c r="Q26" s="6"/>
    </row>
    <row r="27" ht="15.75" customHeight="1">
      <c r="A27" s="6"/>
      <c r="B27" s="20"/>
      <c r="C27" s="22"/>
      <c r="D27" s="22"/>
      <c r="E27" s="22"/>
      <c r="F27" s="22"/>
      <c r="G27" s="23"/>
      <c r="H27" s="6"/>
      <c r="I27" s="20"/>
      <c r="J27" s="34">
        <v>17.0</v>
      </c>
      <c r="K27" s="35"/>
      <c r="L27" s="22"/>
      <c r="M27" s="34">
        <v>17.0</v>
      </c>
      <c r="N27" s="35"/>
      <c r="O27" s="23"/>
      <c r="P27" s="6"/>
      <c r="Q27" s="6"/>
    </row>
    <row r="28" ht="13.5" customHeight="1">
      <c r="A28" s="6"/>
      <c r="B28" s="90"/>
      <c r="C28" s="92" t="s">
        <v>38</v>
      </c>
      <c r="D28" s="3"/>
      <c r="E28" s="3"/>
      <c r="F28" s="5"/>
      <c r="G28" s="93"/>
      <c r="H28" s="6"/>
      <c r="I28" s="20"/>
      <c r="J28" s="34">
        <v>18.0</v>
      </c>
      <c r="K28" s="35"/>
      <c r="L28" s="22"/>
      <c r="M28" s="34">
        <v>18.0</v>
      </c>
      <c r="N28" s="35"/>
      <c r="O28" s="23"/>
      <c r="P28" s="6"/>
      <c r="Q28" s="6"/>
    </row>
    <row r="29" ht="15.75" customHeight="1">
      <c r="A29" s="6"/>
      <c r="B29" s="90"/>
      <c r="C29" s="7"/>
      <c r="F29" s="8"/>
      <c r="G29" s="93"/>
      <c r="H29" s="6"/>
      <c r="I29" s="20"/>
      <c r="J29" s="34">
        <v>19.0</v>
      </c>
      <c r="K29" s="35"/>
      <c r="L29" s="22"/>
      <c r="M29" s="34">
        <v>19.0</v>
      </c>
      <c r="N29" s="35"/>
      <c r="O29" s="23"/>
      <c r="P29" s="6"/>
      <c r="Q29" s="6"/>
    </row>
    <row r="30" ht="15.75" customHeight="1">
      <c r="A30" s="6"/>
      <c r="B30" s="90"/>
      <c r="C30" s="7"/>
      <c r="F30" s="8"/>
      <c r="G30" s="93"/>
      <c r="H30" s="6"/>
      <c r="I30" s="20"/>
      <c r="J30" s="34">
        <v>20.0</v>
      </c>
      <c r="K30" s="35"/>
      <c r="L30" s="22"/>
      <c r="M30" s="34">
        <v>20.0</v>
      </c>
      <c r="N30" s="35"/>
      <c r="O30" s="23"/>
      <c r="P30" s="6"/>
      <c r="Q30" s="6"/>
    </row>
    <row r="31" ht="15.75" customHeight="1">
      <c r="A31" s="6"/>
      <c r="B31" s="90"/>
      <c r="C31" s="9"/>
      <c r="D31" s="10"/>
      <c r="E31" s="10"/>
      <c r="F31" s="11"/>
      <c r="G31" s="93"/>
      <c r="H31" s="6"/>
      <c r="I31" s="20"/>
      <c r="J31" s="34">
        <v>21.0</v>
      </c>
      <c r="K31" s="35"/>
      <c r="L31" s="22"/>
      <c r="M31" s="34">
        <v>21.0</v>
      </c>
      <c r="N31" s="35"/>
      <c r="O31" s="23"/>
      <c r="P31" s="6"/>
      <c r="Q31" s="6"/>
    </row>
    <row r="32" ht="15.75" customHeight="1">
      <c r="A32" s="6"/>
      <c r="B32" s="100"/>
      <c r="C32" s="101"/>
      <c r="D32" s="101"/>
      <c r="E32" s="101"/>
      <c r="F32" s="101"/>
      <c r="G32" s="103"/>
      <c r="H32" s="6"/>
      <c r="I32" s="20"/>
      <c r="J32" s="34">
        <v>22.0</v>
      </c>
      <c r="K32" s="35"/>
      <c r="L32" s="22"/>
      <c r="M32" s="34">
        <v>22.0</v>
      </c>
      <c r="N32" s="35"/>
      <c r="O32" s="23"/>
      <c r="P32" s="6"/>
      <c r="Q32" s="6"/>
    </row>
    <row r="33" ht="15.75" customHeight="1">
      <c r="A33" s="6"/>
      <c r="B33" s="6"/>
      <c r="C33" s="6"/>
      <c r="D33" s="6"/>
      <c r="E33" s="6"/>
      <c r="F33" s="6"/>
      <c r="G33" s="6"/>
      <c r="H33" s="6"/>
      <c r="I33" s="20"/>
      <c r="J33" s="34">
        <v>23.0</v>
      </c>
      <c r="K33" s="35"/>
      <c r="L33" s="22"/>
      <c r="M33" s="34">
        <v>23.0</v>
      </c>
      <c r="N33" s="35"/>
      <c r="O33" s="23"/>
      <c r="P33" s="6"/>
      <c r="Q33" s="6"/>
    </row>
    <row r="34" ht="15.75" customHeight="1">
      <c r="A34" s="6"/>
      <c r="B34" s="6"/>
      <c r="C34" s="6"/>
      <c r="D34" s="6"/>
      <c r="E34" s="6"/>
      <c r="F34" s="6"/>
      <c r="G34" s="6"/>
      <c r="H34" s="6"/>
      <c r="I34" s="20"/>
      <c r="J34" s="34">
        <v>24.0</v>
      </c>
      <c r="K34" s="35"/>
      <c r="L34" s="22"/>
      <c r="M34" s="34">
        <v>24.0</v>
      </c>
      <c r="N34" s="35"/>
      <c r="O34" s="23"/>
      <c r="P34" s="6"/>
      <c r="Q34" s="6"/>
    </row>
    <row r="35" ht="15.75" customHeight="1">
      <c r="A35" s="6"/>
      <c r="B35" s="6"/>
      <c r="C35" s="6"/>
      <c r="D35" s="6"/>
      <c r="E35" s="6"/>
      <c r="F35" s="6"/>
      <c r="G35" s="6"/>
      <c r="H35" s="6"/>
      <c r="I35" s="20"/>
      <c r="J35" s="34">
        <v>25.0</v>
      </c>
      <c r="K35" s="35"/>
      <c r="L35" s="22"/>
      <c r="M35" s="34">
        <v>25.0</v>
      </c>
      <c r="N35" s="35"/>
      <c r="O35" s="23"/>
      <c r="P35" s="6"/>
      <c r="Q35" s="6"/>
    </row>
    <row r="36" ht="15.75" customHeight="1">
      <c r="A36" s="6"/>
      <c r="B36" s="113" t="s">
        <v>39</v>
      </c>
      <c r="C36" s="16"/>
      <c r="D36" s="16"/>
      <c r="E36" s="16"/>
      <c r="F36" s="16"/>
      <c r="G36" s="17"/>
      <c r="H36" s="6"/>
      <c r="I36" s="20"/>
      <c r="J36" s="34">
        <v>26.0</v>
      </c>
      <c r="K36" s="35"/>
      <c r="L36" s="22"/>
      <c r="M36" s="34">
        <v>26.0</v>
      </c>
      <c r="N36" s="35"/>
      <c r="O36" s="23"/>
      <c r="P36" s="6"/>
      <c r="Q36" s="6"/>
    </row>
    <row r="37" ht="15.75" customHeight="1">
      <c r="A37" s="6"/>
      <c r="B37" s="60"/>
      <c r="G37" s="61"/>
      <c r="H37" s="6"/>
      <c r="I37" s="20"/>
      <c r="J37" s="34">
        <v>27.0</v>
      </c>
      <c r="K37" s="35"/>
      <c r="L37" s="22"/>
      <c r="M37" s="34">
        <v>27.0</v>
      </c>
      <c r="N37" s="35"/>
      <c r="O37" s="23"/>
      <c r="P37" s="6"/>
      <c r="Q37" s="6"/>
    </row>
    <row r="38" ht="15.75" customHeight="1">
      <c r="A38" s="6"/>
      <c r="B38" s="64"/>
      <c r="C38" s="50"/>
      <c r="D38" s="50"/>
      <c r="E38" s="50"/>
      <c r="F38" s="50"/>
      <c r="G38" s="51"/>
      <c r="H38" s="6"/>
      <c r="I38" s="20"/>
      <c r="J38" s="34">
        <v>28.0</v>
      </c>
      <c r="K38" s="35"/>
      <c r="L38" s="22"/>
      <c r="M38" s="34">
        <v>28.0</v>
      </c>
      <c r="N38" s="35"/>
      <c r="O38" s="23"/>
      <c r="P38" s="6"/>
      <c r="Q38" s="6"/>
    </row>
    <row r="39" ht="15.75" customHeight="1">
      <c r="A39" s="6"/>
      <c r="B39" s="6"/>
      <c r="C39" s="6"/>
      <c r="D39" s="6"/>
      <c r="E39" s="6"/>
      <c r="F39" s="6"/>
      <c r="G39" s="6"/>
      <c r="H39" s="6"/>
      <c r="I39" s="20"/>
      <c r="J39" s="34">
        <v>29.0</v>
      </c>
      <c r="K39" s="35"/>
      <c r="L39" s="22"/>
      <c r="M39" s="34">
        <v>29.0</v>
      </c>
      <c r="N39" s="35"/>
      <c r="O39" s="23"/>
      <c r="P39" s="6"/>
      <c r="Q39" s="6"/>
    </row>
    <row r="40" ht="15.75" customHeight="1">
      <c r="A40" s="6"/>
      <c r="B40" s="6"/>
      <c r="C40" s="6"/>
      <c r="D40" s="6"/>
      <c r="E40" s="6"/>
      <c r="F40" s="6"/>
      <c r="G40" s="6"/>
      <c r="H40" s="6"/>
      <c r="I40" s="20"/>
      <c r="J40" s="34">
        <v>30.0</v>
      </c>
      <c r="K40" s="35"/>
      <c r="L40" s="22"/>
      <c r="M40" s="34">
        <v>30.0</v>
      </c>
      <c r="N40" s="35"/>
      <c r="O40" s="23"/>
      <c r="P40" s="6"/>
      <c r="Q40" s="6"/>
    </row>
    <row r="41" ht="15.75" customHeight="1">
      <c r="A41" s="6"/>
      <c r="B41" s="6"/>
      <c r="C41" s="6"/>
      <c r="D41" s="6"/>
      <c r="E41" s="6"/>
      <c r="F41" s="6"/>
      <c r="G41" s="6"/>
      <c r="H41" s="6"/>
      <c r="I41" s="20"/>
      <c r="J41" s="34">
        <v>31.0</v>
      </c>
      <c r="K41" s="35"/>
      <c r="L41" s="22"/>
      <c r="M41" s="34">
        <v>31.0</v>
      </c>
      <c r="N41" s="35"/>
      <c r="O41" s="23"/>
      <c r="P41" s="6"/>
      <c r="Q41" s="6"/>
    </row>
    <row r="42" ht="15.75" customHeight="1">
      <c r="A42" s="6"/>
      <c r="B42" s="6"/>
      <c r="C42" s="6"/>
      <c r="D42" s="6"/>
      <c r="E42" s="6"/>
      <c r="F42" s="6"/>
      <c r="G42" s="6"/>
      <c r="H42" s="6"/>
      <c r="I42" s="20"/>
      <c r="J42" s="34">
        <v>32.0</v>
      </c>
      <c r="K42" s="35"/>
      <c r="L42" s="22"/>
      <c r="M42" s="34">
        <v>32.0</v>
      </c>
      <c r="N42" s="35"/>
      <c r="O42" s="23"/>
      <c r="P42" s="6"/>
      <c r="Q42" s="6"/>
    </row>
    <row r="43" ht="15.75" customHeight="1">
      <c r="A43" s="6"/>
      <c r="B43" s="6"/>
      <c r="C43" s="6"/>
      <c r="D43" s="6"/>
      <c r="E43" s="6"/>
      <c r="F43" s="6"/>
      <c r="G43" s="6"/>
      <c r="H43" s="6"/>
      <c r="I43" s="20"/>
      <c r="J43" s="34">
        <v>33.0</v>
      </c>
      <c r="K43" s="35"/>
      <c r="L43" s="22"/>
      <c r="M43" s="34">
        <v>33.0</v>
      </c>
      <c r="N43" s="35"/>
      <c r="O43" s="23"/>
      <c r="P43" s="6"/>
      <c r="Q43" s="6"/>
    </row>
    <row r="44" ht="15.75" customHeight="1">
      <c r="A44" s="6"/>
      <c r="B44" s="6"/>
      <c r="C44" s="6"/>
      <c r="D44" s="6"/>
      <c r="E44" s="6"/>
      <c r="F44" s="6"/>
      <c r="G44" s="6"/>
      <c r="H44" s="6"/>
      <c r="I44" s="20"/>
      <c r="J44" s="34">
        <v>34.0</v>
      </c>
      <c r="K44" s="35"/>
      <c r="L44" s="22"/>
      <c r="M44" s="34">
        <v>34.0</v>
      </c>
      <c r="N44" s="35"/>
      <c r="O44" s="23"/>
      <c r="P44" s="6"/>
      <c r="Q44" s="6"/>
    </row>
    <row r="45" ht="15.75" customHeight="1">
      <c r="A45" s="6"/>
      <c r="B45" s="6"/>
      <c r="C45" s="6"/>
      <c r="D45" s="6"/>
      <c r="E45" s="6"/>
      <c r="F45" s="6"/>
      <c r="G45" s="6"/>
      <c r="H45" s="6"/>
      <c r="I45" s="20"/>
      <c r="J45" s="34">
        <v>35.0</v>
      </c>
      <c r="K45" s="35"/>
      <c r="L45" s="22"/>
      <c r="M45" s="34">
        <v>35.0</v>
      </c>
      <c r="N45" s="35"/>
      <c r="O45" s="23"/>
      <c r="P45" s="6"/>
      <c r="Q45" s="6"/>
    </row>
    <row r="46" ht="15.75" customHeight="1">
      <c r="A46" s="6"/>
      <c r="B46" s="6"/>
      <c r="C46" s="6"/>
      <c r="D46" s="6"/>
      <c r="E46" s="6"/>
      <c r="F46" s="6"/>
      <c r="G46" s="6"/>
      <c r="H46" s="6"/>
      <c r="I46" s="20"/>
      <c r="J46" s="34">
        <v>36.0</v>
      </c>
      <c r="K46" s="35"/>
      <c r="L46" s="22"/>
      <c r="M46" s="34">
        <v>36.0</v>
      </c>
      <c r="N46" s="35"/>
      <c r="O46" s="23"/>
      <c r="P46" s="6"/>
      <c r="Q46" s="6"/>
    </row>
    <row r="47" ht="15.75" customHeight="1">
      <c r="A47" s="6"/>
      <c r="B47" s="6"/>
      <c r="C47" s="6"/>
      <c r="D47" s="6"/>
      <c r="E47" s="6"/>
      <c r="F47" s="6"/>
      <c r="G47" s="6"/>
      <c r="H47" s="6"/>
      <c r="I47" s="20"/>
      <c r="J47" s="34">
        <v>37.0</v>
      </c>
      <c r="K47" s="35"/>
      <c r="L47" s="22"/>
      <c r="M47" s="34">
        <v>37.0</v>
      </c>
      <c r="N47" s="35"/>
      <c r="O47" s="23"/>
      <c r="P47" s="6"/>
      <c r="Q47" s="6"/>
    </row>
    <row r="48" ht="15.75" customHeight="1">
      <c r="A48" s="6"/>
      <c r="B48" s="6"/>
      <c r="C48" s="6"/>
      <c r="D48" s="6"/>
      <c r="E48" s="6"/>
      <c r="F48" s="6"/>
      <c r="G48" s="6"/>
      <c r="H48" s="6"/>
      <c r="I48" s="20"/>
      <c r="J48" s="34">
        <v>38.0</v>
      </c>
      <c r="K48" s="35"/>
      <c r="L48" s="22"/>
      <c r="M48" s="34">
        <v>38.0</v>
      </c>
      <c r="N48" s="35"/>
      <c r="O48" s="23"/>
      <c r="P48" s="6"/>
      <c r="Q48" s="6"/>
    </row>
    <row r="49" ht="15.75" customHeight="1">
      <c r="A49" s="6"/>
      <c r="B49" s="6"/>
      <c r="C49" s="6"/>
      <c r="D49" s="6"/>
      <c r="E49" s="6"/>
      <c r="F49" s="6"/>
      <c r="G49" s="6"/>
      <c r="H49" s="6"/>
      <c r="I49" s="20"/>
      <c r="J49" s="34">
        <v>39.0</v>
      </c>
      <c r="K49" s="35"/>
      <c r="L49" s="22"/>
      <c r="M49" s="34">
        <v>39.0</v>
      </c>
      <c r="N49" s="35"/>
      <c r="O49" s="23"/>
      <c r="P49" s="6"/>
      <c r="Q49" s="6"/>
    </row>
    <row r="50" ht="15.75" customHeight="1">
      <c r="A50" s="6"/>
      <c r="B50" s="6"/>
      <c r="C50" s="6"/>
      <c r="D50" s="6"/>
      <c r="E50" s="6"/>
      <c r="F50" s="6"/>
      <c r="G50" s="6"/>
      <c r="H50" s="6"/>
      <c r="I50" s="20"/>
      <c r="J50" s="34">
        <v>40.0</v>
      </c>
      <c r="K50" s="35"/>
      <c r="L50" s="22"/>
      <c r="M50" s="34">
        <v>40.0</v>
      </c>
      <c r="N50" s="35"/>
      <c r="O50" s="23"/>
      <c r="P50" s="6"/>
      <c r="Q50" s="6"/>
    </row>
    <row r="51" ht="15.75" customHeight="1">
      <c r="A51" s="6"/>
      <c r="B51" s="6"/>
      <c r="C51" s="6"/>
      <c r="D51" s="6"/>
      <c r="E51" s="6"/>
      <c r="F51" s="6"/>
      <c r="G51" s="6"/>
      <c r="H51" s="6"/>
      <c r="I51" s="20"/>
      <c r="J51" s="34">
        <v>41.0</v>
      </c>
      <c r="K51" s="35"/>
      <c r="L51" s="22"/>
      <c r="M51" s="34">
        <v>41.0</v>
      </c>
      <c r="N51" s="35"/>
      <c r="O51" s="23"/>
      <c r="P51" s="6"/>
      <c r="Q51" s="6"/>
    </row>
    <row r="52" ht="15.75" customHeight="1">
      <c r="A52" s="6"/>
      <c r="B52" s="6"/>
      <c r="C52" s="6"/>
      <c r="D52" s="6"/>
      <c r="E52" s="6"/>
      <c r="F52" s="6"/>
      <c r="G52" s="6"/>
      <c r="H52" s="6"/>
      <c r="I52" s="20"/>
      <c r="J52" s="34">
        <v>42.0</v>
      </c>
      <c r="K52" s="35"/>
      <c r="L52" s="22"/>
      <c r="M52" s="34">
        <v>42.0</v>
      </c>
      <c r="N52" s="35"/>
      <c r="O52" s="23"/>
      <c r="P52" s="6"/>
      <c r="Q52" s="6"/>
    </row>
    <row r="53" ht="15.75" customHeight="1">
      <c r="A53" s="6"/>
      <c r="B53" s="6"/>
      <c r="C53" s="6"/>
      <c r="D53" s="6"/>
      <c r="E53" s="6"/>
      <c r="F53" s="6"/>
      <c r="G53" s="6"/>
      <c r="H53" s="6"/>
      <c r="I53" s="20"/>
      <c r="J53" s="34">
        <v>43.0</v>
      </c>
      <c r="K53" s="35"/>
      <c r="L53" s="22"/>
      <c r="M53" s="34">
        <v>43.0</v>
      </c>
      <c r="N53" s="35"/>
      <c r="O53" s="23"/>
      <c r="P53" s="6"/>
      <c r="Q53" s="6"/>
    </row>
    <row r="54" ht="15.75" customHeight="1">
      <c r="A54" s="6"/>
      <c r="B54" s="6"/>
      <c r="C54" s="6"/>
      <c r="D54" s="6"/>
      <c r="E54" s="6"/>
      <c r="F54" s="6"/>
      <c r="G54" s="6"/>
      <c r="H54" s="6"/>
      <c r="I54" s="20"/>
      <c r="J54" s="34">
        <v>44.0</v>
      </c>
      <c r="K54" s="35"/>
      <c r="L54" s="22"/>
      <c r="M54" s="34">
        <v>44.0</v>
      </c>
      <c r="N54" s="35"/>
      <c r="O54" s="23"/>
      <c r="P54" s="6"/>
      <c r="Q54" s="6"/>
    </row>
    <row r="55" ht="15.75" customHeight="1">
      <c r="A55" s="6"/>
      <c r="B55" s="6"/>
      <c r="C55" s="6"/>
      <c r="D55" s="6"/>
      <c r="E55" s="6"/>
      <c r="F55" s="6"/>
      <c r="G55" s="6"/>
      <c r="H55" s="6"/>
      <c r="I55" s="20"/>
      <c r="J55" s="34">
        <v>45.0</v>
      </c>
      <c r="K55" s="35"/>
      <c r="L55" s="22"/>
      <c r="M55" s="34">
        <v>45.0</v>
      </c>
      <c r="N55" s="35"/>
      <c r="O55" s="23"/>
      <c r="P55" s="6"/>
      <c r="Q55" s="6"/>
    </row>
    <row r="56" ht="15.75" customHeight="1">
      <c r="A56" s="6"/>
      <c r="B56" s="6"/>
      <c r="C56" s="6"/>
      <c r="D56" s="6"/>
      <c r="E56" s="6"/>
      <c r="F56" s="6"/>
      <c r="G56" s="6"/>
      <c r="H56" s="6"/>
      <c r="I56" s="20"/>
      <c r="J56" s="34">
        <v>46.0</v>
      </c>
      <c r="K56" s="35"/>
      <c r="L56" s="22"/>
      <c r="M56" s="34">
        <v>46.0</v>
      </c>
      <c r="N56" s="35"/>
      <c r="O56" s="23"/>
      <c r="P56" s="6"/>
      <c r="Q56" s="6"/>
    </row>
    <row r="57" ht="15.75" customHeight="1">
      <c r="A57" s="6"/>
      <c r="B57" s="6"/>
      <c r="C57" s="6"/>
      <c r="D57" s="6"/>
      <c r="E57" s="6"/>
      <c r="F57" s="6"/>
      <c r="G57" s="6"/>
      <c r="H57" s="6"/>
      <c r="I57" s="20"/>
      <c r="J57" s="34">
        <v>47.0</v>
      </c>
      <c r="K57" s="35"/>
      <c r="L57" s="22"/>
      <c r="M57" s="34">
        <v>47.0</v>
      </c>
      <c r="N57" s="35"/>
      <c r="O57" s="23"/>
      <c r="P57" s="6"/>
      <c r="Q57" s="6"/>
    </row>
    <row r="58" ht="15.75" customHeight="1">
      <c r="A58" s="6"/>
      <c r="B58" s="6"/>
      <c r="C58" s="6"/>
      <c r="D58" s="6"/>
      <c r="E58" s="6"/>
      <c r="F58" s="6"/>
      <c r="G58" s="6"/>
      <c r="H58" s="6"/>
      <c r="I58" s="20"/>
      <c r="J58" s="34">
        <v>48.0</v>
      </c>
      <c r="K58" s="35"/>
      <c r="L58" s="22"/>
      <c r="M58" s="34">
        <v>48.0</v>
      </c>
      <c r="N58" s="35"/>
      <c r="O58" s="23"/>
      <c r="P58" s="6"/>
      <c r="Q58" s="6"/>
    </row>
    <row r="59" ht="15.75" customHeight="1">
      <c r="A59" s="6"/>
      <c r="B59" s="6"/>
      <c r="C59" s="6"/>
      <c r="D59" s="6"/>
      <c r="E59" s="6"/>
      <c r="F59" s="6"/>
      <c r="G59" s="6"/>
      <c r="H59" s="6"/>
      <c r="I59" s="20"/>
      <c r="J59" s="34">
        <v>49.0</v>
      </c>
      <c r="K59" s="35"/>
      <c r="L59" s="22"/>
      <c r="M59" s="34">
        <v>49.0</v>
      </c>
      <c r="N59" s="35"/>
      <c r="O59" s="23"/>
      <c r="P59" s="6"/>
      <c r="Q59" s="6"/>
    </row>
    <row r="60" ht="15.75" customHeight="1">
      <c r="A60" s="6"/>
      <c r="B60" s="6"/>
      <c r="C60" s="6"/>
      <c r="D60" s="6"/>
      <c r="E60" s="6"/>
      <c r="F60" s="6"/>
      <c r="G60" s="6"/>
      <c r="H60" s="6"/>
      <c r="I60" s="144"/>
      <c r="J60" s="34">
        <v>50.0</v>
      </c>
      <c r="K60" s="35"/>
      <c r="L60" s="22"/>
      <c r="M60" s="34">
        <v>50.0</v>
      </c>
      <c r="N60" s="35"/>
      <c r="O60" s="23"/>
      <c r="P60" s="6"/>
      <c r="Q60" s="6"/>
    </row>
    <row r="61" ht="15.75" customHeight="1">
      <c r="A61" s="6"/>
      <c r="B61" s="6"/>
      <c r="C61" s="6"/>
      <c r="D61" s="6"/>
      <c r="E61" s="6"/>
      <c r="F61" s="6"/>
      <c r="G61" s="6"/>
      <c r="H61" s="6"/>
      <c r="I61" s="53"/>
      <c r="J61" s="146"/>
      <c r="K61" s="56"/>
      <c r="L61" s="56"/>
      <c r="M61" s="56"/>
      <c r="N61" s="146"/>
      <c r="O61" s="58"/>
      <c r="P61" s="6"/>
      <c r="Q61" s="6"/>
    </row>
    <row r="62" ht="15.75" customHeight="1">
      <c r="A62" s="6"/>
      <c r="B62" s="6"/>
      <c r="C62" s="6"/>
      <c r="D62" s="6"/>
      <c r="E62" s="6"/>
      <c r="F62" s="6"/>
      <c r="G62" s="6"/>
      <c r="H62" s="6"/>
      <c r="I62" s="6"/>
      <c r="J62" s="6"/>
      <c r="K62" s="6"/>
      <c r="L62" s="6"/>
      <c r="M62" s="6"/>
      <c r="N62" s="6"/>
      <c r="O62" s="148" t="s">
        <v>40</v>
      </c>
      <c r="P62" s="6"/>
      <c r="Q62" s="6"/>
    </row>
    <row r="63" ht="15.75" customHeight="1">
      <c r="A63" s="6"/>
      <c r="B63" s="6"/>
      <c r="C63" s="6"/>
      <c r="D63" s="6"/>
      <c r="E63" s="6"/>
      <c r="F63" s="6"/>
      <c r="G63" s="6"/>
      <c r="H63" s="6"/>
      <c r="I63" s="6"/>
      <c r="J63" s="6"/>
      <c r="K63" s="6"/>
      <c r="L63" s="6"/>
      <c r="M63" s="6"/>
      <c r="N63" s="6"/>
      <c r="O63" s="148"/>
      <c r="P63" s="6"/>
      <c r="Q63" s="6"/>
    </row>
    <row r="64" ht="15.75" customHeight="1">
      <c r="A64" s="6"/>
      <c r="B64" s="6"/>
      <c r="C64" s="6"/>
      <c r="D64" s="6"/>
      <c r="E64" s="6"/>
      <c r="F64" s="6"/>
      <c r="G64" s="6"/>
      <c r="H64" s="6"/>
      <c r="I64" s="6"/>
      <c r="J64" s="6"/>
      <c r="K64" s="6"/>
      <c r="L64" s="6"/>
      <c r="M64" s="6"/>
      <c r="N64" s="6"/>
      <c r="O64" s="148"/>
      <c r="P64" s="6"/>
      <c r="Q64" s="6"/>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P5"/>
    <mergeCell ref="B7:G8"/>
    <mergeCell ref="I7:O8"/>
    <mergeCell ref="E10:F10"/>
    <mergeCell ref="J10:K10"/>
    <mergeCell ref="M10:N10"/>
    <mergeCell ref="E13:F13"/>
    <mergeCell ref="E26:F26"/>
    <mergeCell ref="C28:F31"/>
    <mergeCell ref="B36:G38"/>
    <mergeCell ref="E14:F14"/>
    <mergeCell ref="E15:F15"/>
    <mergeCell ref="E16:F16"/>
    <mergeCell ref="B20:G21"/>
    <mergeCell ref="E23:F23"/>
    <mergeCell ref="E24:F24"/>
    <mergeCell ref="E25:F25"/>
  </mergeCells>
  <dataValidations>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Subject - Select the subject from the dropdown list." sqref="E24">
      <formula1>"Science,Mathematics,Filipino,English,Araling Panlipunan,Makabansa"</formula1>
    </dataValidation>
    <dataValidation type="list" allowBlank="1" showErrorMessage="1" sqref="E25">
      <formula1>"2,3,4,5,6,7,8,9,10"</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13"/>
    </row>
    <row r="2" ht="15.75" customHeight="1">
      <c r="A2" s="4"/>
      <c r="B2" s="14" t="s">
        <v>1</v>
      </c>
      <c r="AE2" s="4"/>
      <c r="AF2" s="13"/>
    </row>
    <row r="3" ht="15.75" customHeight="1">
      <c r="A3" s="4"/>
      <c r="AE3" s="4"/>
      <c r="AF3" s="13"/>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13"/>
    </row>
    <row r="5" ht="15.75" customHeight="1">
      <c r="A5" s="6"/>
      <c r="B5" s="6"/>
      <c r="C5" s="6"/>
      <c r="D5" s="6"/>
      <c r="E5" s="21" t="s">
        <v>4</v>
      </c>
      <c r="F5" s="28" t="str">
        <f>IF('INPUT DATA'!E10="","",'INPUT DATA'!E10)</f>
        <v/>
      </c>
      <c r="G5" s="29"/>
      <c r="H5" s="29"/>
      <c r="I5" s="29"/>
      <c r="J5" s="29"/>
      <c r="K5" s="29"/>
      <c r="L5" s="31"/>
      <c r="M5" s="6"/>
      <c r="N5" s="6"/>
      <c r="O5" s="6"/>
      <c r="P5" s="6"/>
      <c r="Q5" s="21" t="s">
        <v>8</v>
      </c>
      <c r="R5" s="28" t="str">
        <f>IF('INPUT DATA'!E11="","",'INPUT DATA'!E11)</f>
        <v/>
      </c>
      <c r="S5" s="29"/>
      <c r="T5" s="29"/>
      <c r="U5" s="29"/>
      <c r="V5" s="31"/>
      <c r="W5" s="6"/>
      <c r="X5" s="6"/>
      <c r="Y5" s="21" t="s">
        <v>9</v>
      </c>
      <c r="Z5" s="28" t="str">
        <f>IF('INPUT DATA'!E13="","",'INPUT DATA'!E13)</f>
        <v/>
      </c>
      <c r="AA5" s="29"/>
      <c r="AB5" s="31"/>
      <c r="AC5" s="6"/>
      <c r="AD5" s="6"/>
      <c r="AE5" s="6"/>
      <c r="AF5" s="12"/>
    </row>
    <row r="6" ht="6.0" customHeight="1">
      <c r="A6" s="6"/>
      <c r="B6" s="6"/>
      <c r="C6" s="6"/>
      <c r="D6" s="6"/>
      <c r="E6" s="21"/>
      <c r="F6" s="36"/>
      <c r="G6" s="38"/>
      <c r="H6" s="38"/>
      <c r="I6" s="38"/>
      <c r="J6" s="38"/>
      <c r="K6" s="38"/>
      <c r="L6" s="38"/>
      <c r="M6" s="6"/>
      <c r="N6" s="6"/>
      <c r="O6" s="6"/>
      <c r="P6" s="6"/>
      <c r="Q6" s="21"/>
      <c r="R6" s="36"/>
      <c r="S6" s="38"/>
      <c r="T6" s="38"/>
      <c r="U6" s="38"/>
      <c r="V6" s="38"/>
      <c r="W6" s="6"/>
      <c r="X6" s="6"/>
      <c r="Y6" s="21"/>
      <c r="Z6" s="36"/>
      <c r="AA6" s="38"/>
      <c r="AB6" s="38"/>
      <c r="AC6" s="6"/>
      <c r="AD6" s="6"/>
      <c r="AE6" s="6"/>
      <c r="AF6" s="12"/>
    </row>
    <row r="7" ht="15.75" customHeight="1">
      <c r="A7" s="6"/>
      <c r="B7" s="6"/>
      <c r="C7" s="6"/>
      <c r="D7" s="6"/>
      <c r="E7" s="21" t="s">
        <v>10</v>
      </c>
      <c r="F7" s="28" t="str">
        <f>IF('INPUT DATA'!E14="","",'INPUT DATA'!E14)</f>
        <v/>
      </c>
      <c r="G7" s="29"/>
      <c r="H7" s="29"/>
      <c r="I7" s="29"/>
      <c r="J7" s="29"/>
      <c r="K7" s="29"/>
      <c r="L7" s="29"/>
      <c r="M7" s="29"/>
      <c r="N7" s="29"/>
      <c r="O7" s="29"/>
      <c r="P7" s="29"/>
      <c r="Q7" s="29"/>
      <c r="R7" s="29"/>
      <c r="S7" s="29"/>
      <c r="T7" s="29"/>
      <c r="U7" s="29"/>
      <c r="V7" s="31"/>
      <c r="W7" s="6"/>
      <c r="X7" s="6"/>
      <c r="Y7" s="21" t="s">
        <v>11</v>
      </c>
      <c r="Z7" s="28" t="str">
        <f>IF('INPUT DATA'!E15="","",'INPUT DATA'!E15)</f>
        <v/>
      </c>
      <c r="AA7" s="29"/>
      <c r="AB7" s="31"/>
      <c r="AC7" s="6"/>
      <c r="AD7" s="6"/>
      <c r="AE7" s="6"/>
      <c r="AF7" s="12"/>
    </row>
    <row r="8" ht="15.7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6"/>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31"/>
      <c r="AE9" s="6"/>
      <c r="AF9" s="12"/>
    </row>
    <row r="10" ht="15.75" customHeight="1">
      <c r="A10" s="6"/>
      <c r="B10" s="47" t="s">
        <v>16</v>
      </c>
      <c r="C10" s="3"/>
      <c r="D10" s="3"/>
      <c r="E10" s="48"/>
      <c r="F10" s="49" t="s">
        <v>15</v>
      </c>
      <c r="G10" s="50"/>
      <c r="H10" s="50"/>
      <c r="I10" s="51"/>
      <c r="J10" s="52" t="str">
        <f>IF('INPUT DATA'!E25="","",'INPUT DATA'!E25)</f>
        <v/>
      </c>
      <c r="K10" s="54"/>
      <c r="L10" s="54"/>
      <c r="M10" s="55"/>
      <c r="N10" s="57" t="s">
        <v>17</v>
      </c>
      <c r="O10" s="3"/>
      <c r="P10" s="48"/>
      <c r="Q10" s="59" t="str">
        <f>IF('INPUT DATA'!E23="","",'INPUT DATA'!E23)</f>
        <v/>
      </c>
      <c r="R10" s="3"/>
      <c r="S10" s="3"/>
      <c r="T10" s="3"/>
      <c r="U10" s="3"/>
      <c r="V10" s="3"/>
      <c r="W10" s="3"/>
      <c r="X10" s="48"/>
      <c r="Y10" s="57" t="s">
        <v>18</v>
      </c>
      <c r="Z10" s="5"/>
      <c r="AA10" s="59" t="str">
        <f>IF('INPUT DATA'!E24="","",'INPUT DATA'!E24)</f>
        <v/>
      </c>
      <c r="AB10" s="3"/>
      <c r="AC10" s="3"/>
      <c r="AD10" s="48"/>
      <c r="AE10" s="6"/>
      <c r="AF10" s="12"/>
    </row>
    <row r="11" ht="15.75" customHeight="1">
      <c r="A11" s="6"/>
      <c r="B11" s="60"/>
      <c r="E11" s="61"/>
      <c r="F11" s="62" t="s">
        <v>19</v>
      </c>
      <c r="G11" s="29"/>
      <c r="H11" s="29"/>
      <c r="I11" s="31"/>
      <c r="J11" s="63" t="str">
        <f>IF('INPUT DATA'!E26="","",'INPUT DATA'!E26)</f>
        <v/>
      </c>
      <c r="K11" s="29"/>
      <c r="L11" s="29"/>
      <c r="M11" s="31"/>
      <c r="N11" s="64"/>
      <c r="O11" s="50"/>
      <c r="P11" s="51"/>
      <c r="Q11" s="64"/>
      <c r="R11" s="50"/>
      <c r="S11" s="50"/>
      <c r="T11" s="50"/>
      <c r="U11" s="50"/>
      <c r="V11" s="50"/>
      <c r="W11" s="50"/>
      <c r="X11" s="51"/>
      <c r="Y11" s="64"/>
      <c r="Z11" s="65"/>
      <c r="AA11" s="64"/>
      <c r="AB11" s="50"/>
      <c r="AC11" s="50"/>
      <c r="AD11" s="51"/>
      <c r="AE11" s="6"/>
      <c r="AF11" s="12"/>
    </row>
    <row r="12" ht="15.75" customHeight="1">
      <c r="A12" s="6"/>
      <c r="B12" s="60"/>
      <c r="E12" s="61"/>
      <c r="F12" s="66" t="s">
        <v>21</v>
      </c>
      <c r="G12" s="16"/>
      <c r="H12" s="16"/>
      <c r="I12" s="16"/>
      <c r="J12" s="16"/>
      <c r="K12" s="16"/>
      <c r="L12" s="16"/>
      <c r="M12" s="17"/>
      <c r="N12" s="67" t="s">
        <v>22</v>
      </c>
      <c r="O12" s="16"/>
      <c r="P12" s="16"/>
      <c r="Q12" s="16"/>
      <c r="R12" s="16"/>
      <c r="S12" s="17"/>
      <c r="T12" s="67" t="s">
        <v>23</v>
      </c>
      <c r="U12" s="16"/>
      <c r="V12" s="16"/>
      <c r="W12" s="16"/>
      <c r="X12" s="16"/>
      <c r="Y12" s="16"/>
      <c r="Z12" s="16"/>
      <c r="AA12" s="17"/>
      <c r="AB12" s="68" t="s">
        <v>24</v>
      </c>
      <c r="AC12" s="68" t="s">
        <v>26</v>
      </c>
      <c r="AD12" s="68" t="s">
        <v>27</v>
      </c>
      <c r="AE12" s="6"/>
      <c r="AF12" s="12"/>
    </row>
    <row r="13" ht="15.75" customHeight="1">
      <c r="A13" s="6"/>
      <c r="B13" s="60"/>
      <c r="E13" s="61"/>
      <c r="F13" s="64"/>
      <c r="G13" s="50"/>
      <c r="H13" s="50"/>
      <c r="I13" s="50"/>
      <c r="J13" s="50"/>
      <c r="K13" s="50"/>
      <c r="L13" s="50"/>
      <c r="M13" s="51"/>
      <c r="N13" s="64"/>
      <c r="O13" s="50"/>
      <c r="P13" s="50"/>
      <c r="Q13" s="50"/>
      <c r="R13" s="50"/>
      <c r="S13" s="51"/>
      <c r="T13" s="64"/>
      <c r="U13" s="50"/>
      <c r="V13" s="50"/>
      <c r="W13" s="50"/>
      <c r="X13" s="50"/>
      <c r="Y13" s="50"/>
      <c r="Z13" s="50"/>
      <c r="AA13" s="51"/>
      <c r="AB13" s="71"/>
      <c r="AC13" s="71"/>
      <c r="AD13" s="71"/>
      <c r="AE13" s="6"/>
      <c r="AF13" s="12"/>
    </row>
    <row r="14" ht="15.75" customHeight="1">
      <c r="A14" s="6"/>
      <c r="B14" s="18"/>
      <c r="C14" s="10"/>
      <c r="D14" s="10"/>
      <c r="E14" s="19"/>
      <c r="F14" s="72">
        <v>1.0</v>
      </c>
      <c r="G14" s="73">
        <v>2.0</v>
      </c>
      <c r="H14" s="73">
        <v>3.0</v>
      </c>
      <c r="I14" s="73">
        <v>4.0</v>
      </c>
      <c r="J14" s="74">
        <v>5.0</v>
      </c>
      <c r="K14" s="75" t="s">
        <v>28</v>
      </c>
      <c r="L14" s="75" t="s">
        <v>29</v>
      </c>
      <c r="M14" s="75" t="s">
        <v>30</v>
      </c>
      <c r="N14" s="72">
        <v>1.0</v>
      </c>
      <c r="O14" s="73">
        <v>2.0</v>
      </c>
      <c r="P14" s="74">
        <v>3.0</v>
      </c>
      <c r="Q14" s="75" t="s">
        <v>28</v>
      </c>
      <c r="R14" s="75" t="s">
        <v>29</v>
      </c>
      <c r="S14" s="75" t="s">
        <v>30</v>
      </c>
      <c r="T14" s="72" t="s">
        <v>31</v>
      </c>
      <c r="U14" s="73" t="s">
        <v>32</v>
      </c>
      <c r="V14" s="74" t="s">
        <v>33</v>
      </c>
      <c r="W14" s="76" t="s">
        <v>34</v>
      </c>
      <c r="X14" s="77" t="s">
        <v>35</v>
      </c>
      <c r="Y14" s="78" t="s">
        <v>36</v>
      </c>
      <c r="Z14" s="75" t="s">
        <v>29</v>
      </c>
      <c r="AA14" s="75" t="s">
        <v>30</v>
      </c>
      <c r="AB14" s="71"/>
      <c r="AC14" s="71"/>
      <c r="AD14" s="71"/>
      <c r="AE14" s="6"/>
      <c r="AF14" s="12"/>
    </row>
    <row r="15" ht="15.75" customHeight="1">
      <c r="A15" s="6"/>
      <c r="B15" s="81" t="s">
        <v>37</v>
      </c>
      <c r="C15" s="29"/>
      <c r="D15" s="29"/>
      <c r="E15" s="31"/>
      <c r="F15" s="83">
        <v>15.0</v>
      </c>
      <c r="G15" s="85">
        <v>15.0</v>
      </c>
      <c r="H15" s="85">
        <v>15.0</v>
      </c>
      <c r="I15" s="85">
        <v>15.0</v>
      </c>
      <c r="J15" s="87">
        <v>15.0</v>
      </c>
      <c r="K15" s="88">
        <f>IF(COUNT(F15:J15)=0,"",SUM(F15:J15))</f>
        <v>75</v>
      </c>
      <c r="L15" s="89">
        <v>100.0</v>
      </c>
      <c r="M15" s="91">
        <v>0.2</v>
      </c>
      <c r="N15" s="83">
        <v>20.0</v>
      </c>
      <c r="O15" s="85">
        <v>20.0</v>
      </c>
      <c r="P15" s="87">
        <v>20.0</v>
      </c>
      <c r="Q15" s="88">
        <f>IF(COUNT(N15:P15)=0,"",SUM(N15:P15))</f>
        <v>60</v>
      </c>
      <c r="R15" s="94">
        <v>100.0</v>
      </c>
      <c r="S15" s="95">
        <v>0.5</v>
      </c>
      <c r="T15" s="83">
        <v>30.0</v>
      </c>
      <c r="U15" s="85">
        <v>30.0</v>
      </c>
      <c r="V15" s="87">
        <v>40.0</v>
      </c>
      <c r="W15" s="96">
        <v>30.0</v>
      </c>
      <c r="X15" s="97">
        <v>30.0</v>
      </c>
      <c r="Y15" s="98">
        <v>40.0</v>
      </c>
      <c r="Z15" s="94">
        <v>100.0</v>
      </c>
      <c r="AA15" s="95">
        <v>0.3</v>
      </c>
      <c r="AB15" s="99"/>
      <c r="AC15" s="99"/>
      <c r="AD15" s="99"/>
      <c r="AE15" s="6"/>
      <c r="AF15" s="12"/>
    </row>
    <row r="16" ht="15.75" customHeight="1">
      <c r="A16" s="6"/>
      <c r="B16" s="102" t="s">
        <v>3</v>
      </c>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31"/>
      <c r="AE16" s="6"/>
      <c r="AF16" s="12"/>
    </row>
    <row r="17" ht="15.75" customHeight="1">
      <c r="A17" s="6"/>
      <c r="B17" s="104" t="s">
        <v>6</v>
      </c>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31"/>
      <c r="AE17" s="6"/>
      <c r="AF17" s="12"/>
    </row>
    <row r="18" ht="15.0" customHeight="1">
      <c r="A18" s="6"/>
      <c r="B18" s="105">
        <v>1.0</v>
      </c>
      <c r="C18" s="106" t="str">
        <f>IF('INPUT DATA'!K11="","",'INPUT DATA'!K11)</f>
        <v/>
      </c>
      <c r="D18" s="107"/>
      <c r="E18" s="108"/>
      <c r="F18" s="124">
        <v>11.0</v>
      </c>
      <c r="G18" s="127">
        <v>13.0</v>
      </c>
      <c r="H18" s="127">
        <v>13.0</v>
      </c>
      <c r="I18" s="127">
        <v>13.0</v>
      </c>
      <c r="J18" s="131">
        <v>15.0</v>
      </c>
      <c r="K18" s="112">
        <f t="shared" ref="K18:K67" si="1">IF(COUNT($F18:$J18)=0,"",SUM($F18:$J18))</f>
        <v>65</v>
      </c>
      <c r="L18" s="115">
        <f t="shared" ref="L18:L67" si="2">IF(COUNT(F18:J18)=0,"",IFERROR(K18/$K$15*$L$15,""))</f>
        <v>86.66666667</v>
      </c>
      <c r="M18" s="142">
        <f t="shared" ref="M18:M67" si="3">IF(L18="","",L18*$M$15)</f>
        <v>17.33333333</v>
      </c>
      <c r="N18" s="124">
        <v>18.0</v>
      </c>
      <c r="O18" s="127">
        <v>17.0</v>
      </c>
      <c r="P18" s="131">
        <v>18.0</v>
      </c>
      <c r="Q18" s="112">
        <f t="shared" ref="Q18:Q67" si="4">IF(COUNT(N18:P18)=0,"",SUM(N18:P18))</f>
        <v>53</v>
      </c>
      <c r="R18" s="115">
        <f t="shared" ref="R18:R67" si="5">IF(COUNT(N18:P18)=0,"",IFERROR(Q18/$Q$15*$R$15,""))</f>
        <v>88.33333333</v>
      </c>
      <c r="S18" s="142">
        <f t="shared" ref="S18:S67" si="6">IF(R18="","",R18*$S$15)</f>
        <v>44.16666667</v>
      </c>
      <c r="T18" s="124">
        <v>26.0</v>
      </c>
      <c r="U18" s="127">
        <v>28.0</v>
      </c>
      <c r="V18" s="131">
        <v>34.0</v>
      </c>
      <c r="W18" s="117">
        <f t="shared" ref="W18:W67" si="7">IF(T18="","",IFERROR(T18/$T$15*$W$15,""))</f>
        <v>26</v>
      </c>
      <c r="X18" s="118">
        <f t="shared" ref="X18:X67" si="8">IF(U18="","",IFERROR(U18/$U$15*$X$15,""))</f>
        <v>28</v>
      </c>
      <c r="Y18" s="119">
        <f t="shared" ref="Y18:Y67" si="9">IF(V18="","",IFERROR(V18/$V$15*$Y$15,""))</f>
        <v>34</v>
      </c>
      <c r="Z18" s="120">
        <f t="shared" ref="Z18:Z67" si="10">IF(COUNT(T18:V18)=0,"",SUM(W18:Y18))</f>
        <v>88</v>
      </c>
      <c r="AA18" s="143">
        <f t="shared" ref="AA18:AA67" si="11">IF(Z18="","",Z18*$AA$15)</f>
        <v>26.4</v>
      </c>
      <c r="AB18" s="147">
        <f t="shared" ref="AB18:AB67" si="12">IF(COUNT(F18:J18,N18:P18,T18:V18)=0,"",SUM(M18,S18,AA18))</f>
        <v>87.9</v>
      </c>
      <c r="AC18" s="123">
        <f t="array" ref="AC18">IF(AB18="","",IFERROR(INDEX(HELPER!$D$8:$D$48,IF(AB18&gt;=HELPER!$B$8,1,MATCH(AB18,HELPER!$B$8:$B$48,-1)+1)),""))</f>
        <v>90</v>
      </c>
      <c r="AD18" s="125" t="str">
        <f>IF(AC18="","",IFERROR(VLOOKUP(AC18,HELPER!$F$8:$G$48,2,FALSE),""))</f>
        <v>Advancing</v>
      </c>
      <c r="AE18" s="6"/>
      <c r="AF18" s="12"/>
    </row>
    <row r="19" ht="15.0" customHeight="1">
      <c r="A19" s="6"/>
      <c r="B19" s="126">
        <v>2.0</v>
      </c>
      <c r="C19" s="106" t="str">
        <f>IF('INPUT DATA'!K12="","",'INPUT DATA'!K12)</f>
        <v/>
      </c>
      <c r="D19" s="107"/>
      <c r="E19" s="108"/>
      <c r="F19" s="128"/>
      <c r="G19" s="129"/>
      <c r="H19" s="129"/>
      <c r="I19" s="129"/>
      <c r="J19" s="130"/>
      <c r="K19" s="132" t="str">
        <f t="shared" si="1"/>
        <v/>
      </c>
      <c r="L19" s="133" t="str">
        <f t="shared" si="2"/>
        <v/>
      </c>
      <c r="M19" s="149" t="str">
        <f t="shared" si="3"/>
        <v/>
      </c>
      <c r="N19" s="128"/>
      <c r="O19" s="129"/>
      <c r="P19" s="130"/>
      <c r="Q19" s="132" t="str">
        <f t="shared" si="4"/>
        <v/>
      </c>
      <c r="R19" s="133" t="str">
        <f t="shared" si="5"/>
        <v/>
      </c>
      <c r="S19" s="149" t="str">
        <f t="shared" si="6"/>
        <v/>
      </c>
      <c r="T19" s="128"/>
      <c r="U19" s="129"/>
      <c r="V19" s="130"/>
      <c r="W19" s="136" t="str">
        <f t="shared" si="7"/>
        <v/>
      </c>
      <c r="X19" s="133" t="str">
        <f t="shared" si="8"/>
        <v/>
      </c>
      <c r="Y19" s="134" t="str">
        <f t="shared" si="9"/>
        <v/>
      </c>
      <c r="Z19" s="137" t="str">
        <f t="shared" si="10"/>
        <v/>
      </c>
      <c r="AA19" s="150" t="str">
        <f t="shared" si="11"/>
        <v/>
      </c>
      <c r="AB19" s="151" t="str">
        <f t="shared" si="12"/>
        <v/>
      </c>
      <c r="AC19" s="140" t="str">
        <f t="array" ref="AC19">IF(AB19="","",IFERROR(INDEX(HELPER!$D$8:$D$48,IF(AB19&gt;=HELPER!$B$8,1,MATCH(AB19,HELPER!$B$8:$B$48,-1)+1)),""))</f>
        <v/>
      </c>
      <c r="AD19" s="141" t="str">
        <f>IF(AC19="","",IFERROR(VLOOKUP(AC19,HELPER!$F$8:$G$48,2,FALSE),""))</f>
        <v/>
      </c>
      <c r="AE19" s="6"/>
      <c r="AF19" s="12"/>
    </row>
    <row r="20" ht="15.0" customHeight="1">
      <c r="A20" s="6"/>
      <c r="B20" s="126">
        <v>3.0</v>
      </c>
      <c r="C20" s="106" t="str">
        <f>IF('INPUT DATA'!K13="","",'INPUT DATA'!K13)</f>
        <v/>
      </c>
      <c r="D20" s="107"/>
      <c r="E20" s="108"/>
      <c r="F20" s="128"/>
      <c r="G20" s="129"/>
      <c r="H20" s="129"/>
      <c r="I20" s="129"/>
      <c r="J20" s="130"/>
      <c r="K20" s="132" t="str">
        <f t="shared" si="1"/>
        <v/>
      </c>
      <c r="L20" s="133" t="str">
        <f t="shared" si="2"/>
        <v/>
      </c>
      <c r="M20" s="149" t="str">
        <f t="shared" si="3"/>
        <v/>
      </c>
      <c r="N20" s="128"/>
      <c r="O20" s="129"/>
      <c r="P20" s="130"/>
      <c r="Q20" s="132" t="str">
        <f t="shared" si="4"/>
        <v/>
      </c>
      <c r="R20" s="133" t="str">
        <f t="shared" si="5"/>
        <v/>
      </c>
      <c r="S20" s="149" t="str">
        <f t="shared" si="6"/>
        <v/>
      </c>
      <c r="T20" s="128"/>
      <c r="U20" s="129"/>
      <c r="V20" s="130"/>
      <c r="W20" s="136" t="str">
        <f t="shared" si="7"/>
        <v/>
      </c>
      <c r="X20" s="133" t="str">
        <f t="shared" si="8"/>
        <v/>
      </c>
      <c r="Y20" s="134" t="str">
        <f t="shared" si="9"/>
        <v/>
      </c>
      <c r="Z20" s="137" t="str">
        <f t="shared" si="10"/>
        <v/>
      </c>
      <c r="AA20" s="150" t="str">
        <f t="shared" si="11"/>
        <v/>
      </c>
      <c r="AB20" s="151" t="str">
        <f t="shared" si="12"/>
        <v/>
      </c>
      <c r="AC20" s="140" t="str">
        <f t="array" ref="AC20">IF(AB20="","",IFERROR(INDEX(HELPER!$D$8:$D$48,IF(AB20&gt;=HELPER!$B$8,1,MATCH(AB20,HELPER!$B$8:$B$48,-1)+1)),""))</f>
        <v/>
      </c>
      <c r="AD20" s="141" t="str">
        <f>IF(AC20="","",IFERROR(VLOOKUP(AC20,HELPER!$F$8:$G$48,2,FALSE),""))</f>
        <v/>
      </c>
      <c r="AE20" s="6"/>
      <c r="AF20" s="12"/>
    </row>
    <row r="21" ht="15.0" customHeight="1">
      <c r="A21" s="6"/>
      <c r="B21" s="126">
        <v>4.0</v>
      </c>
      <c r="C21" s="106" t="str">
        <f>IF('INPUT DATA'!K14="","",'INPUT DATA'!K14)</f>
        <v/>
      </c>
      <c r="D21" s="107"/>
      <c r="E21" s="108"/>
      <c r="F21" s="128"/>
      <c r="G21" s="129"/>
      <c r="H21" s="129"/>
      <c r="I21" s="129"/>
      <c r="J21" s="130"/>
      <c r="K21" s="132" t="str">
        <f t="shared" si="1"/>
        <v/>
      </c>
      <c r="L21" s="133" t="str">
        <f t="shared" si="2"/>
        <v/>
      </c>
      <c r="M21" s="149" t="str">
        <f t="shared" si="3"/>
        <v/>
      </c>
      <c r="N21" s="128"/>
      <c r="O21" s="129"/>
      <c r="P21" s="130"/>
      <c r="Q21" s="132" t="str">
        <f t="shared" si="4"/>
        <v/>
      </c>
      <c r="R21" s="133" t="str">
        <f t="shared" si="5"/>
        <v/>
      </c>
      <c r="S21" s="149" t="str">
        <f t="shared" si="6"/>
        <v/>
      </c>
      <c r="T21" s="128"/>
      <c r="U21" s="129"/>
      <c r="V21" s="130"/>
      <c r="W21" s="136" t="str">
        <f t="shared" si="7"/>
        <v/>
      </c>
      <c r="X21" s="133" t="str">
        <f t="shared" si="8"/>
        <v/>
      </c>
      <c r="Y21" s="134" t="str">
        <f t="shared" si="9"/>
        <v/>
      </c>
      <c r="Z21" s="137" t="str">
        <f t="shared" si="10"/>
        <v/>
      </c>
      <c r="AA21" s="150" t="str">
        <f t="shared" si="11"/>
        <v/>
      </c>
      <c r="AB21" s="151" t="str">
        <f t="shared" si="12"/>
        <v/>
      </c>
      <c r="AC21" s="140" t="str">
        <f t="array" ref="AC21">IF(AB21="","",IFERROR(INDEX(HELPER!$D$8:$D$48,IF(AB21&gt;=HELPER!$B$8,1,MATCH(AB21,HELPER!$B$8:$B$48,-1)+1)),""))</f>
        <v/>
      </c>
      <c r="AD21" s="141" t="str">
        <f>IF(AC21="","",IFERROR(VLOOKUP(AC21,HELPER!$F$8:$G$48,2,FALSE),""))</f>
        <v/>
      </c>
      <c r="AE21" s="6"/>
      <c r="AF21" s="12"/>
    </row>
    <row r="22" ht="15.0" customHeight="1">
      <c r="A22" s="6"/>
      <c r="B22" s="126">
        <v>5.0</v>
      </c>
      <c r="C22" s="145" t="str">
        <f>IF('INPUT DATA'!K15="","",'INPUT DATA'!K15)</f>
        <v/>
      </c>
      <c r="D22" s="107"/>
      <c r="E22" s="108"/>
      <c r="F22" s="128"/>
      <c r="G22" s="129"/>
      <c r="H22" s="129"/>
      <c r="I22" s="129"/>
      <c r="J22" s="130"/>
      <c r="K22" s="132" t="str">
        <f t="shared" si="1"/>
        <v/>
      </c>
      <c r="L22" s="133" t="str">
        <f t="shared" si="2"/>
        <v/>
      </c>
      <c r="M22" s="149" t="str">
        <f t="shared" si="3"/>
        <v/>
      </c>
      <c r="N22" s="128"/>
      <c r="O22" s="129"/>
      <c r="P22" s="130"/>
      <c r="Q22" s="132" t="str">
        <f t="shared" si="4"/>
        <v/>
      </c>
      <c r="R22" s="133" t="str">
        <f t="shared" si="5"/>
        <v/>
      </c>
      <c r="S22" s="149" t="str">
        <f t="shared" si="6"/>
        <v/>
      </c>
      <c r="T22" s="128"/>
      <c r="U22" s="129"/>
      <c r="V22" s="130"/>
      <c r="W22" s="136" t="str">
        <f t="shared" si="7"/>
        <v/>
      </c>
      <c r="X22" s="133" t="str">
        <f t="shared" si="8"/>
        <v/>
      </c>
      <c r="Y22" s="134" t="str">
        <f t="shared" si="9"/>
        <v/>
      </c>
      <c r="Z22" s="137" t="str">
        <f t="shared" si="10"/>
        <v/>
      </c>
      <c r="AA22" s="150" t="str">
        <f t="shared" si="11"/>
        <v/>
      </c>
      <c r="AB22" s="151" t="str">
        <f t="shared" si="12"/>
        <v/>
      </c>
      <c r="AC22" s="140" t="str">
        <f t="array" ref="AC22">IF(AB22="","",IFERROR(INDEX(HELPER!$D$8:$D$48,IF(AB22&gt;=HELPER!$B$8,1,MATCH(AB22,HELPER!$B$8:$B$48,-1)+1)),""))</f>
        <v/>
      </c>
      <c r="AD22" s="141" t="str">
        <f>IF(AC22="","",IFERROR(VLOOKUP(AC22,HELPER!$F$8:$G$48,2,FALSE),""))</f>
        <v/>
      </c>
      <c r="AE22" s="6"/>
      <c r="AF22" s="12"/>
    </row>
    <row r="23" ht="15.0" customHeight="1">
      <c r="A23" s="6"/>
      <c r="B23" s="126">
        <v>6.0</v>
      </c>
      <c r="C23" s="145" t="str">
        <f>IF('INPUT DATA'!K16="","",'INPUT DATA'!K16)</f>
        <v/>
      </c>
      <c r="D23" s="107"/>
      <c r="E23" s="108"/>
      <c r="F23" s="128"/>
      <c r="G23" s="129"/>
      <c r="H23" s="129"/>
      <c r="I23" s="129"/>
      <c r="J23" s="130"/>
      <c r="K23" s="132" t="str">
        <f t="shared" si="1"/>
        <v/>
      </c>
      <c r="L23" s="133" t="str">
        <f t="shared" si="2"/>
        <v/>
      </c>
      <c r="M23" s="149" t="str">
        <f t="shared" si="3"/>
        <v/>
      </c>
      <c r="N23" s="128"/>
      <c r="O23" s="129"/>
      <c r="P23" s="130"/>
      <c r="Q23" s="132" t="str">
        <f t="shared" si="4"/>
        <v/>
      </c>
      <c r="R23" s="133" t="str">
        <f t="shared" si="5"/>
        <v/>
      </c>
      <c r="S23" s="149" t="str">
        <f t="shared" si="6"/>
        <v/>
      </c>
      <c r="T23" s="128"/>
      <c r="U23" s="129"/>
      <c r="V23" s="130"/>
      <c r="W23" s="136" t="str">
        <f t="shared" si="7"/>
        <v/>
      </c>
      <c r="X23" s="133" t="str">
        <f t="shared" si="8"/>
        <v/>
      </c>
      <c r="Y23" s="134" t="str">
        <f t="shared" si="9"/>
        <v/>
      </c>
      <c r="Z23" s="137" t="str">
        <f t="shared" si="10"/>
        <v/>
      </c>
      <c r="AA23" s="150" t="str">
        <f t="shared" si="11"/>
        <v/>
      </c>
      <c r="AB23" s="151" t="str">
        <f t="shared" si="12"/>
        <v/>
      </c>
      <c r="AC23" s="140" t="str">
        <f t="array" ref="AC23">IF(AB23="","",IFERROR(INDEX(HELPER!$D$8:$D$48,IF(AB23&gt;=HELPER!$B$8,1,MATCH(AB23,HELPER!$B$8:$B$48,-1)+1)),""))</f>
        <v/>
      </c>
      <c r="AD23" s="141" t="str">
        <f>IF(AC23="","",IFERROR(VLOOKUP(AC23,HELPER!$F$8:$G$48,2,FALSE),""))</f>
        <v/>
      </c>
      <c r="AE23" s="6"/>
      <c r="AF23" s="12"/>
    </row>
    <row r="24" ht="15.0" customHeight="1">
      <c r="A24" s="6"/>
      <c r="B24" s="126">
        <v>7.0</v>
      </c>
      <c r="C24" s="145" t="str">
        <f>IF('INPUT DATA'!K17="","",'INPUT DATA'!K17)</f>
        <v/>
      </c>
      <c r="D24" s="107"/>
      <c r="E24" s="108"/>
      <c r="F24" s="128"/>
      <c r="G24" s="129"/>
      <c r="H24" s="129"/>
      <c r="I24" s="129"/>
      <c r="J24" s="130"/>
      <c r="K24" s="132" t="str">
        <f t="shared" si="1"/>
        <v/>
      </c>
      <c r="L24" s="133" t="str">
        <f t="shared" si="2"/>
        <v/>
      </c>
      <c r="M24" s="149" t="str">
        <f t="shared" si="3"/>
        <v/>
      </c>
      <c r="N24" s="128"/>
      <c r="O24" s="129"/>
      <c r="P24" s="130"/>
      <c r="Q24" s="132" t="str">
        <f t="shared" si="4"/>
        <v/>
      </c>
      <c r="R24" s="133" t="str">
        <f t="shared" si="5"/>
        <v/>
      </c>
      <c r="S24" s="149" t="str">
        <f t="shared" si="6"/>
        <v/>
      </c>
      <c r="T24" s="128"/>
      <c r="U24" s="129"/>
      <c r="V24" s="130"/>
      <c r="W24" s="136" t="str">
        <f t="shared" si="7"/>
        <v/>
      </c>
      <c r="X24" s="133" t="str">
        <f t="shared" si="8"/>
        <v/>
      </c>
      <c r="Y24" s="134" t="str">
        <f t="shared" si="9"/>
        <v/>
      </c>
      <c r="Z24" s="137" t="str">
        <f t="shared" si="10"/>
        <v/>
      </c>
      <c r="AA24" s="150" t="str">
        <f t="shared" si="11"/>
        <v/>
      </c>
      <c r="AB24" s="151" t="str">
        <f t="shared" si="12"/>
        <v/>
      </c>
      <c r="AC24" s="140" t="str">
        <f t="array" ref="AC24">IF(AB24="","",IFERROR(INDEX(HELPER!$D$8:$D$48,IF(AB24&gt;=HELPER!$B$8,1,MATCH(AB24,HELPER!$B$8:$B$48,-1)+1)),""))</f>
        <v/>
      </c>
      <c r="AD24" s="141" t="str">
        <f>IF(AC24="","",IFERROR(VLOOKUP(AC24,HELPER!$F$8:$G$48,2,FALSE),""))</f>
        <v/>
      </c>
      <c r="AE24" s="6"/>
      <c r="AF24" s="12"/>
    </row>
    <row r="25" ht="15.0" customHeight="1">
      <c r="A25" s="6"/>
      <c r="B25" s="126">
        <v>8.0</v>
      </c>
      <c r="C25" s="145" t="str">
        <f>IF('INPUT DATA'!K18="","",'INPUT DATA'!K18)</f>
        <v/>
      </c>
      <c r="D25" s="107"/>
      <c r="E25" s="108"/>
      <c r="F25" s="128"/>
      <c r="G25" s="129"/>
      <c r="H25" s="129"/>
      <c r="I25" s="129"/>
      <c r="J25" s="130"/>
      <c r="K25" s="132" t="str">
        <f t="shared" si="1"/>
        <v/>
      </c>
      <c r="L25" s="133" t="str">
        <f t="shared" si="2"/>
        <v/>
      </c>
      <c r="M25" s="149" t="str">
        <f t="shared" si="3"/>
        <v/>
      </c>
      <c r="N25" s="128"/>
      <c r="O25" s="129"/>
      <c r="P25" s="130"/>
      <c r="Q25" s="132" t="str">
        <f t="shared" si="4"/>
        <v/>
      </c>
      <c r="R25" s="133" t="str">
        <f t="shared" si="5"/>
        <v/>
      </c>
      <c r="S25" s="149" t="str">
        <f t="shared" si="6"/>
        <v/>
      </c>
      <c r="T25" s="128"/>
      <c r="U25" s="129"/>
      <c r="V25" s="130"/>
      <c r="W25" s="136" t="str">
        <f t="shared" si="7"/>
        <v/>
      </c>
      <c r="X25" s="133" t="str">
        <f t="shared" si="8"/>
        <v/>
      </c>
      <c r="Y25" s="134" t="str">
        <f t="shared" si="9"/>
        <v/>
      </c>
      <c r="Z25" s="137" t="str">
        <f t="shared" si="10"/>
        <v/>
      </c>
      <c r="AA25" s="150" t="str">
        <f t="shared" si="11"/>
        <v/>
      </c>
      <c r="AB25" s="151" t="str">
        <f t="shared" si="12"/>
        <v/>
      </c>
      <c r="AC25" s="140" t="str">
        <f t="array" ref="AC25">IF(AB25="","",IFERROR(INDEX(HELPER!$D$8:$D$48,IF(AB25&gt;=HELPER!$B$8,1,MATCH(AB25,HELPER!$B$8:$B$48,-1)+1)),""))</f>
        <v/>
      </c>
      <c r="AD25" s="141" t="str">
        <f>IF(AC25="","",IFERROR(VLOOKUP(AC25,HELPER!$F$8:$G$48,2,FALSE),""))</f>
        <v/>
      </c>
      <c r="AE25" s="6"/>
      <c r="AF25" s="12"/>
    </row>
    <row r="26" ht="15.0" customHeight="1">
      <c r="A26" s="6"/>
      <c r="B26" s="126">
        <v>9.0</v>
      </c>
      <c r="C26" s="145" t="str">
        <f>IF('INPUT DATA'!K19="","",'INPUT DATA'!K19)</f>
        <v/>
      </c>
      <c r="D26" s="107"/>
      <c r="E26" s="108"/>
      <c r="F26" s="128"/>
      <c r="G26" s="129"/>
      <c r="H26" s="129"/>
      <c r="I26" s="129"/>
      <c r="J26" s="130"/>
      <c r="K26" s="132" t="str">
        <f t="shared" si="1"/>
        <v/>
      </c>
      <c r="L26" s="133" t="str">
        <f t="shared" si="2"/>
        <v/>
      </c>
      <c r="M26" s="149" t="str">
        <f t="shared" si="3"/>
        <v/>
      </c>
      <c r="N26" s="128"/>
      <c r="O26" s="129"/>
      <c r="P26" s="130"/>
      <c r="Q26" s="132" t="str">
        <f t="shared" si="4"/>
        <v/>
      </c>
      <c r="R26" s="133" t="str">
        <f t="shared" si="5"/>
        <v/>
      </c>
      <c r="S26" s="149" t="str">
        <f t="shared" si="6"/>
        <v/>
      </c>
      <c r="T26" s="128"/>
      <c r="U26" s="129"/>
      <c r="V26" s="130"/>
      <c r="W26" s="136" t="str">
        <f t="shared" si="7"/>
        <v/>
      </c>
      <c r="X26" s="133" t="str">
        <f t="shared" si="8"/>
        <v/>
      </c>
      <c r="Y26" s="134" t="str">
        <f t="shared" si="9"/>
        <v/>
      </c>
      <c r="Z26" s="137" t="str">
        <f t="shared" si="10"/>
        <v/>
      </c>
      <c r="AA26" s="150" t="str">
        <f t="shared" si="11"/>
        <v/>
      </c>
      <c r="AB26" s="151" t="str">
        <f t="shared" si="12"/>
        <v/>
      </c>
      <c r="AC26" s="140" t="str">
        <f t="array" ref="AC26">IF(AB26="","",IFERROR(INDEX(HELPER!$D$8:$D$48,IF(AB26&gt;=HELPER!$B$8,1,MATCH(AB26,HELPER!$B$8:$B$48,-1)+1)),""))</f>
        <v/>
      </c>
      <c r="AD26" s="141" t="str">
        <f>IF(AC26="","",IFERROR(VLOOKUP(AC26,HELPER!$F$8:$G$48,2,FALSE),""))</f>
        <v/>
      </c>
      <c r="AE26" s="6"/>
      <c r="AF26" s="12"/>
    </row>
    <row r="27" ht="15.0" customHeight="1">
      <c r="A27" s="6"/>
      <c r="B27" s="126">
        <v>10.0</v>
      </c>
      <c r="C27" s="145" t="str">
        <f>IF('INPUT DATA'!K20="","",'INPUT DATA'!K20)</f>
        <v/>
      </c>
      <c r="D27" s="107"/>
      <c r="E27" s="108"/>
      <c r="F27" s="128"/>
      <c r="G27" s="129"/>
      <c r="H27" s="129"/>
      <c r="I27" s="129"/>
      <c r="J27" s="130"/>
      <c r="K27" s="132" t="str">
        <f t="shared" si="1"/>
        <v/>
      </c>
      <c r="L27" s="133" t="str">
        <f t="shared" si="2"/>
        <v/>
      </c>
      <c r="M27" s="149" t="str">
        <f t="shared" si="3"/>
        <v/>
      </c>
      <c r="N27" s="128"/>
      <c r="O27" s="129"/>
      <c r="P27" s="130"/>
      <c r="Q27" s="132" t="str">
        <f t="shared" si="4"/>
        <v/>
      </c>
      <c r="R27" s="133" t="str">
        <f t="shared" si="5"/>
        <v/>
      </c>
      <c r="S27" s="149" t="str">
        <f t="shared" si="6"/>
        <v/>
      </c>
      <c r="T27" s="128"/>
      <c r="U27" s="129"/>
      <c r="V27" s="130"/>
      <c r="W27" s="136" t="str">
        <f t="shared" si="7"/>
        <v/>
      </c>
      <c r="X27" s="133" t="str">
        <f t="shared" si="8"/>
        <v/>
      </c>
      <c r="Y27" s="134" t="str">
        <f t="shared" si="9"/>
        <v/>
      </c>
      <c r="Z27" s="137" t="str">
        <f t="shared" si="10"/>
        <v/>
      </c>
      <c r="AA27" s="150" t="str">
        <f t="shared" si="11"/>
        <v/>
      </c>
      <c r="AB27" s="151" t="str">
        <f t="shared" si="12"/>
        <v/>
      </c>
      <c r="AC27" s="140" t="str">
        <f t="array" ref="AC27">IF(AB27="","",IFERROR(INDEX(HELPER!$D$8:$D$48,IF(AB27&gt;=HELPER!$B$8,1,MATCH(AB27,HELPER!$B$8:$B$48,-1)+1)),""))</f>
        <v/>
      </c>
      <c r="AD27" s="141" t="str">
        <f>IF(AC27="","",IFERROR(VLOOKUP(AC27,HELPER!$F$8:$G$48,2,FALSE),""))</f>
        <v/>
      </c>
      <c r="AE27" s="6"/>
      <c r="AF27" s="12"/>
    </row>
    <row r="28" ht="15.0" customHeight="1">
      <c r="A28" s="6"/>
      <c r="B28" s="126">
        <v>11.0</v>
      </c>
      <c r="C28" s="145" t="str">
        <f>IF('INPUT DATA'!K21="","",'INPUT DATA'!K21)</f>
        <v/>
      </c>
      <c r="D28" s="107"/>
      <c r="E28" s="108"/>
      <c r="F28" s="128"/>
      <c r="G28" s="129"/>
      <c r="H28" s="129"/>
      <c r="I28" s="129"/>
      <c r="J28" s="130"/>
      <c r="K28" s="132" t="str">
        <f t="shared" si="1"/>
        <v/>
      </c>
      <c r="L28" s="133" t="str">
        <f t="shared" si="2"/>
        <v/>
      </c>
      <c r="M28" s="149" t="str">
        <f t="shared" si="3"/>
        <v/>
      </c>
      <c r="N28" s="128"/>
      <c r="O28" s="129"/>
      <c r="P28" s="130"/>
      <c r="Q28" s="132" t="str">
        <f t="shared" si="4"/>
        <v/>
      </c>
      <c r="R28" s="133" t="str">
        <f t="shared" si="5"/>
        <v/>
      </c>
      <c r="S28" s="149" t="str">
        <f t="shared" si="6"/>
        <v/>
      </c>
      <c r="T28" s="128"/>
      <c r="U28" s="129"/>
      <c r="V28" s="130"/>
      <c r="W28" s="136" t="str">
        <f t="shared" si="7"/>
        <v/>
      </c>
      <c r="X28" s="133" t="str">
        <f t="shared" si="8"/>
        <v/>
      </c>
      <c r="Y28" s="134" t="str">
        <f t="shared" si="9"/>
        <v/>
      </c>
      <c r="Z28" s="137" t="str">
        <f t="shared" si="10"/>
        <v/>
      </c>
      <c r="AA28" s="150" t="str">
        <f t="shared" si="11"/>
        <v/>
      </c>
      <c r="AB28" s="151" t="str">
        <f t="shared" si="12"/>
        <v/>
      </c>
      <c r="AC28" s="140" t="str">
        <f t="array" ref="AC28">IF(AB28="","",IFERROR(INDEX(HELPER!$D$8:$D$48,IF(AB28&gt;=HELPER!$B$8,1,MATCH(AB28,HELPER!$B$8:$B$48,-1)+1)),""))</f>
        <v/>
      </c>
      <c r="AD28" s="141" t="str">
        <f>IF(AC28="","",IFERROR(VLOOKUP(AC28,HELPER!$F$8:$G$48,2,FALSE),""))</f>
        <v/>
      </c>
      <c r="AE28" s="6"/>
      <c r="AF28" s="12"/>
    </row>
    <row r="29" ht="15.0" customHeight="1">
      <c r="A29" s="6"/>
      <c r="B29" s="126">
        <v>12.0</v>
      </c>
      <c r="C29" s="145" t="str">
        <f>IF('INPUT DATA'!K22="","",'INPUT DATA'!K22)</f>
        <v/>
      </c>
      <c r="D29" s="107"/>
      <c r="E29" s="108"/>
      <c r="F29" s="128"/>
      <c r="G29" s="129"/>
      <c r="H29" s="129"/>
      <c r="I29" s="129"/>
      <c r="J29" s="130"/>
      <c r="K29" s="132" t="str">
        <f t="shared" si="1"/>
        <v/>
      </c>
      <c r="L29" s="133" t="str">
        <f t="shared" si="2"/>
        <v/>
      </c>
      <c r="M29" s="149" t="str">
        <f t="shared" si="3"/>
        <v/>
      </c>
      <c r="N29" s="128"/>
      <c r="O29" s="129"/>
      <c r="P29" s="130"/>
      <c r="Q29" s="132" t="str">
        <f t="shared" si="4"/>
        <v/>
      </c>
      <c r="R29" s="133" t="str">
        <f t="shared" si="5"/>
        <v/>
      </c>
      <c r="S29" s="149" t="str">
        <f t="shared" si="6"/>
        <v/>
      </c>
      <c r="T29" s="128"/>
      <c r="U29" s="129"/>
      <c r="V29" s="130"/>
      <c r="W29" s="136" t="str">
        <f t="shared" si="7"/>
        <v/>
      </c>
      <c r="X29" s="133" t="str">
        <f t="shared" si="8"/>
        <v/>
      </c>
      <c r="Y29" s="134" t="str">
        <f t="shared" si="9"/>
        <v/>
      </c>
      <c r="Z29" s="137" t="str">
        <f t="shared" si="10"/>
        <v/>
      </c>
      <c r="AA29" s="150" t="str">
        <f t="shared" si="11"/>
        <v/>
      </c>
      <c r="AB29" s="151" t="str">
        <f t="shared" si="12"/>
        <v/>
      </c>
      <c r="AC29" s="140" t="str">
        <f t="array" ref="AC29">IF(AB29="","",IFERROR(INDEX(HELPER!$D$8:$D$48,IF(AB29&gt;=HELPER!$B$8,1,MATCH(AB29,HELPER!$B$8:$B$48,-1)+1)),""))</f>
        <v/>
      </c>
      <c r="AD29" s="141" t="str">
        <f>IF(AC29="","",IFERROR(VLOOKUP(AC29,HELPER!$F$8:$G$48,2,FALSE),""))</f>
        <v/>
      </c>
      <c r="AE29" s="6"/>
      <c r="AF29" s="12"/>
    </row>
    <row r="30" ht="15.0" customHeight="1">
      <c r="A30" s="6"/>
      <c r="B30" s="126">
        <v>13.0</v>
      </c>
      <c r="C30" s="145" t="str">
        <f>IF('INPUT DATA'!K23="","",'INPUT DATA'!K23)</f>
        <v/>
      </c>
      <c r="D30" s="107"/>
      <c r="E30" s="108"/>
      <c r="F30" s="128"/>
      <c r="G30" s="129"/>
      <c r="H30" s="129"/>
      <c r="I30" s="129"/>
      <c r="J30" s="130"/>
      <c r="K30" s="132" t="str">
        <f t="shared" si="1"/>
        <v/>
      </c>
      <c r="L30" s="133" t="str">
        <f t="shared" si="2"/>
        <v/>
      </c>
      <c r="M30" s="149" t="str">
        <f t="shared" si="3"/>
        <v/>
      </c>
      <c r="N30" s="128"/>
      <c r="O30" s="129"/>
      <c r="P30" s="130"/>
      <c r="Q30" s="132" t="str">
        <f t="shared" si="4"/>
        <v/>
      </c>
      <c r="R30" s="133" t="str">
        <f t="shared" si="5"/>
        <v/>
      </c>
      <c r="S30" s="149" t="str">
        <f t="shared" si="6"/>
        <v/>
      </c>
      <c r="T30" s="128"/>
      <c r="U30" s="129"/>
      <c r="V30" s="130"/>
      <c r="W30" s="136" t="str">
        <f t="shared" si="7"/>
        <v/>
      </c>
      <c r="X30" s="133" t="str">
        <f t="shared" si="8"/>
        <v/>
      </c>
      <c r="Y30" s="134" t="str">
        <f t="shared" si="9"/>
        <v/>
      </c>
      <c r="Z30" s="137" t="str">
        <f t="shared" si="10"/>
        <v/>
      </c>
      <c r="AA30" s="150" t="str">
        <f t="shared" si="11"/>
        <v/>
      </c>
      <c r="AB30" s="151" t="str">
        <f t="shared" si="12"/>
        <v/>
      </c>
      <c r="AC30" s="140" t="str">
        <f t="array" ref="AC30">IF(AB30="","",IFERROR(INDEX(HELPER!$D$8:$D$48,IF(AB30&gt;=HELPER!$B$8,1,MATCH(AB30,HELPER!$B$8:$B$48,-1)+1)),""))</f>
        <v/>
      </c>
      <c r="AD30" s="141" t="str">
        <f>IF(AC30="","",IFERROR(VLOOKUP(AC30,HELPER!$F$8:$G$48,2,FALSE),""))</f>
        <v/>
      </c>
      <c r="AE30" s="6"/>
      <c r="AF30" s="12"/>
    </row>
    <row r="31" ht="15.0" customHeight="1">
      <c r="A31" s="6"/>
      <c r="B31" s="126">
        <v>14.0</v>
      </c>
      <c r="C31" s="145" t="str">
        <f>IF('INPUT DATA'!K24="","",'INPUT DATA'!K24)</f>
        <v/>
      </c>
      <c r="D31" s="107"/>
      <c r="E31" s="108"/>
      <c r="F31" s="128"/>
      <c r="G31" s="129"/>
      <c r="H31" s="129"/>
      <c r="I31" s="129"/>
      <c r="J31" s="130"/>
      <c r="K31" s="132" t="str">
        <f t="shared" si="1"/>
        <v/>
      </c>
      <c r="L31" s="133" t="str">
        <f t="shared" si="2"/>
        <v/>
      </c>
      <c r="M31" s="149" t="str">
        <f t="shared" si="3"/>
        <v/>
      </c>
      <c r="N31" s="128"/>
      <c r="O31" s="129"/>
      <c r="P31" s="130"/>
      <c r="Q31" s="132" t="str">
        <f t="shared" si="4"/>
        <v/>
      </c>
      <c r="R31" s="133" t="str">
        <f t="shared" si="5"/>
        <v/>
      </c>
      <c r="S31" s="149" t="str">
        <f t="shared" si="6"/>
        <v/>
      </c>
      <c r="T31" s="128"/>
      <c r="U31" s="129"/>
      <c r="V31" s="130"/>
      <c r="W31" s="136" t="str">
        <f t="shared" si="7"/>
        <v/>
      </c>
      <c r="X31" s="133" t="str">
        <f t="shared" si="8"/>
        <v/>
      </c>
      <c r="Y31" s="134" t="str">
        <f t="shared" si="9"/>
        <v/>
      </c>
      <c r="Z31" s="137" t="str">
        <f t="shared" si="10"/>
        <v/>
      </c>
      <c r="AA31" s="150" t="str">
        <f t="shared" si="11"/>
        <v/>
      </c>
      <c r="AB31" s="151" t="str">
        <f t="shared" si="12"/>
        <v/>
      </c>
      <c r="AC31" s="140" t="str">
        <f t="array" ref="AC31">IF(AB31="","",IFERROR(INDEX(HELPER!$D$8:$D$48,IF(AB31&gt;=HELPER!$B$8,1,MATCH(AB31,HELPER!$B$8:$B$48,-1)+1)),""))</f>
        <v/>
      </c>
      <c r="AD31" s="141" t="str">
        <f>IF(AC31="","",IFERROR(VLOOKUP(AC31,HELPER!$F$8:$G$48,2,FALSE),""))</f>
        <v/>
      </c>
      <c r="AE31" s="6"/>
      <c r="AF31" s="12"/>
    </row>
    <row r="32" ht="15.0" customHeight="1">
      <c r="A32" s="6"/>
      <c r="B32" s="126">
        <v>15.0</v>
      </c>
      <c r="C32" s="145" t="str">
        <f>IF('INPUT DATA'!K25="","",'INPUT DATA'!K25)</f>
        <v/>
      </c>
      <c r="D32" s="107"/>
      <c r="E32" s="108"/>
      <c r="F32" s="128"/>
      <c r="G32" s="129"/>
      <c r="H32" s="129"/>
      <c r="I32" s="129"/>
      <c r="J32" s="130"/>
      <c r="K32" s="132" t="str">
        <f t="shared" si="1"/>
        <v/>
      </c>
      <c r="L32" s="133" t="str">
        <f t="shared" si="2"/>
        <v/>
      </c>
      <c r="M32" s="149" t="str">
        <f t="shared" si="3"/>
        <v/>
      </c>
      <c r="N32" s="128"/>
      <c r="O32" s="129"/>
      <c r="P32" s="130"/>
      <c r="Q32" s="132" t="str">
        <f t="shared" si="4"/>
        <v/>
      </c>
      <c r="R32" s="133" t="str">
        <f t="shared" si="5"/>
        <v/>
      </c>
      <c r="S32" s="149" t="str">
        <f t="shared" si="6"/>
        <v/>
      </c>
      <c r="T32" s="128"/>
      <c r="U32" s="129"/>
      <c r="V32" s="130"/>
      <c r="W32" s="136" t="str">
        <f t="shared" si="7"/>
        <v/>
      </c>
      <c r="X32" s="133" t="str">
        <f t="shared" si="8"/>
        <v/>
      </c>
      <c r="Y32" s="134" t="str">
        <f t="shared" si="9"/>
        <v/>
      </c>
      <c r="Z32" s="137" t="str">
        <f t="shared" si="10"/>
        <v/>
      </c>
      <c r="AA32" s="150" t="str">
        <f t="shared" si="11"/>
        <v/>
      </c>
      <c r="AB32" s="151" t="str">
        <f t="shared" si="12"/>
        <v/>
      </c>
      <c r="AC32" s="140" t="str">
        <f t="array" ref="AC32">IF(AB32="","",IFERROR(INDEX(HELPER!$D$8:$D$48,IF(AB32&gt;=HELPER!$B$8,1,MATCH(AB32,HELPER!$B$8:$B$48,-1)+1)),""))</f>
        <v/>
      </c>
      <c r="AD32" s="141" t="str">
        <f>IF(AC32="","",IFERROR(VLOOKUP(AC32,HELPER!$F$8:$G$48,2,FALSE),""))</f>
        <v/>
      </c>
      <c r="AE32" s="6"/>
      <c r="AF32" s="12"/>
    </row>
    <row r="33" ht="15.0" customHeight="1">
      <c r="A33" s="6"/>
      <c r="B33" s="126">
        <v>16.0</v>
      </c>
      <c r="C33" s="145" t="str">
        <f>IF('INPUT DATA'!K26="","",'INPUT DATA'!K26)</f>
        <v/>
      </c>
      <c r="D33" s="107"/>
      <c r="E33" s="108"/>
      <c r="F33" s="128"/>
      <c r="G33" s="129"/>
      <c r="H33" s="129"/>
      <c r="I33" s="129"/>
      <c r="J33" s="130"/>
      <c r="K33" s="132" t="str">
        <f t="shared" si="1"/>
        <v/>
      </c>
      <c r="L33" s="133" t="str">
        <f t="shared" si="2"/>
        <v/>
      </c>
      <c r="M33" s="149" t="str">
        <f t="shared" si="3"/>
        <v/>
      </c>
      <c r="N33" s="128"/>
      <c r="O33" s="129"/>
      <c r="P33" s="130"/>
      <c r="Q33" s="132" t="str">
        <f t="shared" si="4"/>
        <v/>
      </c>
      <c r="R33" s="133" t="str">
        <f t="shared" si="5"/>
        <v/>
      </c>
      <c r="S33" s="149" t="str">
        <f t="shared" si="6"/>
        <v/>
      </c>
      <c r="T33" s="128"/>
      <c r="U33" s="129"/>
      <c r="V33" s="130"/>
      <c r="W33" s="136" t="str">
        <f t="shared" si="7"/>
        <v/>
      </c>
      <c r="X33" s="133" t="str">
        <f t="shared" si="8"/>
        <v/>
      </c>
      <c r="Y33" s="134" t="str">
        <f t="shared" si="9"/>
        <v/>
      </c>
      <c r="Z33" s="137" t="str">
        <f t="shared" si="10"/>
        <v/>
      </c>
      <c r="AA33" s="150" t="str">
        <f t="shared" si="11"/>
        <v/>
      </c>
      <c r="AB33" s="151" t="str">
        <f t="shared" si="12"/>
        <v/>
      </c>
      <c r="AC33" s="140" t="str">
        <f t="array" ref="AC33">IF(AB33="","",IFERROR(INDEX(HELPER!$D$8:$D$48,IF(AB33&gt;=HELPER!$B$8,1,MATCH(AB33,HELPER!$B$8:$B$48,-1)+1)),""))</f>
        <v/>
      </c>
      <c r="AD33" s="141" t="str">
        <f>IF(AC33="","",IFERROR(VLOOKUP(AC33,HELPER!$F$8:$G$48,2,FALSE),""))</f>
        <v/>
      </c>
      <c r="AE33" s="6"/>
      <c r="AF33" s="12"/>
    </row>
    <row r="34" ht="15.0" customHeight="1">
      <c r="A34" s="6"/>
      <c r="B34" s="126">
        <v>17.0</v>
      </c>
      <c r="C34" s="145" t="str">
        <f>IF('INPUT DATA'!K27="","",'INPUT DATA'!K27)</f>
        <v/>
      </c>
      <c r="D34" s="107"/>
      <c r="E34" s="108"/>
      <c r="F34" s="128"/>
      <c r="G34" s="129"/>
      <c r="H34" s="129"/>
      <c r="I34" s="129"/>
      <c r="J34" s="130"/>
      <c r="K34" s="132" t="str">
        <f t="shared" si="1"/>
        <v/>
      </c>
      <c r="L34" s="133" t="str">
        <f t="shared" si="2"/>
        <v/>
      </c>
      <c r="M34" s="149" t="str">
        <f t="shared" si="3"/>
        <v/>
      </c>
      <c r="N34" s="128"/>
      <c r="O34" s="129"/>
      <c r="P34" s="130"/>
      <c r="Q34" s="132" t="str">
        <f t="shared" si="4"/>
        <v/>
      </c>
      <c r="R34" s="133" t="str">
        <f t="shared" si="5"/>
        <v/>
      </c>
      <c r="S34" s="149" t="str">
        <f t="shared" si="6"/>
        <v/>
      </c>
      <c r="T34" s="128"/>
      <c r="U34" s="129"/>
      <c r="V34" s="130"/>
      <c r="W34" s="136" t="str">
        <f t="shared" si="7"/>
        <v/>
      </c>
      <c r="X34" s="133" t="str">
        <f t="shared" si="8"/>
        <v/>
      </c>
      <c r="Y34" s="134" t="str">
        <f t="shared" si="9"/>
        <v/>
      </c>
      <c r="Z34" s="137" t="str">
        <f t="shared" si="10"/>
        <v/>
      </c>
      <c r="AA34" s="150" t="str">
        <f t="shared" si="11"/>
        <v/>
      </c>
      <c r="AB34" s="151" t="str">
        <f t="shared" si="12"/>
        <v/>
      </c>
      <c r="AC34" s="140" t="str">
        <f t="array" ref="AC34">IF(AB34="","",IFERROR(INDEX(HELPER!$D$8:$D$48,IF(AB34&gt;=HELPER!$B$8,1,MATCH(AB34,HELPER!$B$8:$B$48,-1)+1)),""))</f>
        <v/>
      </c>
      <c r="AD34" s="141" t="str">
        <f>IF(AC34="","",IFERROR(VLOOKUP(AC34,HELPER!$F$8:$G$48,2,FALSE),""))</f>
        <v/>
      </c>
      <c r="AE34" s="6"/>
      <c r="AF34" s="12"/>
    </row>
    <row r="35" ht="15.0" customHeight="1">
      <c r="A35" s="6"/>
      <c r="B35" s="126">
        <v>18.0</v>
      </c>
      <c r="C35" s="145" t="str">
        <f>IF('INPUT DATA'!K28="","",'INPUT DATA'!K28)</f>
        <v/>
      </c>
      <c r="D35" s="107"/>
      <c r="E35" s="108"/>
      <c r="F35" s="128"/>
      <c r="G35" s="129"/>
      <c r="H35" s="129"/>
      <c r="I35" s="129"/>
      <c r="J35" s="130"/>
      <c r="K35" s="132" t="str">
        <f t="shared" si="1"/>
        <v/>
      </c>
      <c r="L35" s="133" t="str">
        <f t="shared" si="2"/>
        <v/>
      </c>
      <c r="M35" s="149" t="str">
        <f t="shared" si="3"/>
        <v/>
      </c>
      <c r="N35" s="128"/>
      <c r="O35" s="129"/>
      <c r="P35" s="130"/>
      <c r="Q35" s="132" t="str">
        <f t="shared" si="4"/>
        <v/>
      </c>
      <c r="R35" s="133" t="str">
        <f t="shared" si="5"/>
        <v/>
      </c>
      <c r="S35" s="149" t="str">
        <f t="shared" si="6"/>
        <v/>
      </c>
      <c r="T35" s="128"/>
      <c r="U35" s="129"/>
      <c r="V35" s="130"/>
      <c r="W35" s="136" t="str">
        <f t="shared" si="7"/>
        <v/>
      </c>
      <c r="X35" s="133" t="str">
        <f t="shared" si="8"/>
        <v/>
      </c>
      <c r="Y35" s="134" t="str">
        <f t="shared" si="9"/>
        <v/>
      </c>
      <c r="Z35" s="137" t="str">
        <f t="shared" si="10"/>
        <v/>
      </c>
      <c r="AA35" s="150" t="str">
        <f t="shared" si="11"/>
        <v/>
      </c>
      <c r="AB35" s="151" t="str">
        <f t="shared" si="12"/>
        <v/>
      </c>
      <c r="AC35" s="140" t="str">
        <f t="array" ref="AC35">IF(AB35="","",IFERROR(INDEX(HELPER!$D$8:$D$48,IF(AB35&gt;=HELPER!$B$8,1,MATCH(AB35,HELPER!$B$8:$B$48,-1)+1)),""))</f>
        <v/>
      </c>
      <c r="AD35" s="141" t="str">
        <f>IF(AC35="","",IFERROR(VLOOKUP(AC35,HELPER!$F$8:$G$48,2,FALSE),""))</f>
        <v/>
      </c>
      <c r="AE35" s="6"/>
      <c r="AF35" s="12"/>
    </row>
    <row r="36" ht="15.0" customHeight="1">
      <c r="A36" s="6"/>
      <c r="B36" s="126">
        <v>19.0</v>
      </c>
      <c r="C36" s="145" t="str">
        <f>IF('INPUT DATA'!K29="","",'INPUT DATA'!K29)</f>
        <v/>
      </c>
      <c r="D36" s="107"/>
      <c r="E36" s="108"/>
      <c r="F36" s="128"/>
      <c r="G36" s="129"/>
      <c r="H36" s="129"/>
      <c r="I36" s="129"/>
      <c r="J36" s="130"/>
      <c r="K36" s="132" t="str">
        <f t="shared" si="1"/>
        <v/>
      </c>
      <c r="L36" s="133" t="str">
        <f t="shared" si="2"/>
        <v/>
      </c>
      <c r="M36" s="149" t="str">
        <f t="shared" si="3"/>
        <v/>
      </c>
      <c r="N36" s="128"/>
      <c r="O36" s="129"/>
      <c r="P36" s="130"/>
      <c r="Q36" s="132" t="str">
        <f t="shared" si="4"/>
        <v/>
      </c>
      <c r="R36" s="133" t="str">
        <f t="shared" si="5"/>
        <v/>
      </c>
      <c r="S36" s="149" t="str">
        <f t="shared" si="6"/>
        <v/>
      </c>
      <c r="T36" s="128"/>
      <c r="U36" s="129"/>
      <c r="V36" s="130"/>
      <c r="W36" s="136" t="str">
        <f t="shared" si="7"/>
        <v/>
      </c>
      <c r="X36" s="133" t="str">
        <f t="shared" si="8"/>
        <v/>
      </c>
      <c r="Y36" s="134" t="str">
        <f t="shared" si="9"/>
        <v/>
      </c>
      <c r="Z36" s="137" t="str">
        <f t="shared" si="10"/>
        <v/>
      </c>
      <c r="AA36" s="150" t="str">
        <f t="shared" si="11"/>
        <v/>
      </c>
      <c r="AB36" s="151" t="str">
        <f t="shared" si="12"/>
        <v/>
      </c>
      <c r="AC36" s="140" t="str">
        <f t="array" ref="AC36">IF(AB36="","",IFERROR(INDEX(HELPER!$D$8:$D$48,IF(AB36&gt;=HELPER!$B$8,1,MATCH(AB36,HELPER!$B$8:$B$48,-1)+1)),""))</f>
        <v/>
      </c>
      <c r="AD36" s="141" t="str">
        <f>IF(AC36="","",IFERROR(VLOOKUP(AC36,HELPER!$F$8:$G$48,2,FALSE),""))</f>
        <v/>
      </c>
      <c r="AE36" s="6"/>
      <c r="AF36" s="12"/>
    </row>
    <row r="37" ht="15.0" customHeight="1">
      <c r="A37" s="6"/>
      <c r="B37" s="168">
        <v>20.0</v>
      </c>
      <c r="C37" s="145" t="str">
        <f>IF('INPUT DATA'!K30="","",'INPUT DATA'!K30)</f>
        <v/>
      </c>
      <c r="D37" s="107"/>
      <c r="E37" s="108"/>
      <c r="F37" s="128"/>
      <c r="G37" s="129"/>
      <c r="H37" s="129"/>
      <c r="I37" s="129"/>
      <c r="J37" s="130"/>
      <c r="K37" s="132" t="str">
        <f t="shared" si="1"/>
        <v/>
      </c>
      <c r="L37" s="133" t="str">
        <f t="shared" si="2"/>
        <v/>
      </c>
      <c r="M37" s="149" t="str">
        <f t="shared" si="3"/>
        <v/>
      </c>
      <c r="N37" s="128"/>
      <c r="O37" s="129"/>
      <c r="P37" s="130"/>
      <c r="Q37" s="132" t="str">
        <f t="shared" si="4"/>
        <v/>
      </c>
      <c r="R37" s="133" t="str">
        <f t="shared" si="5"/>
        <v/>
      </c>
      <c r="S37" s="149" t="str">
        <f t="shared" si="6"/>
        <v/>
      </c>
      <c r="T37" s="128"/>
      <c r="U37" s="129"/>
      <c r="V37" s="130"/>
      <c r="W37" s="136" t="str">
        <f t="shared" si="7"/>
        <v/>
      </c>
      <c r="X37" s="133" t="str">
        <f t="shared" si="8"/>
        <v/>
      </c>
      <c r="Y37" s="134" t="str">
        <f t="shared" si="9"/>
        <v/>
      </c>
      <c r="Z37" s="137" t="str">
        <f t="shared" si="10"/>
        <v/>
      </c>
      <c r="AA37" s="150" t="str">
        <f t="shared" si="11"/>
        <v/>
      </c>
      <c r="AB37" s="151" t="str">
        <f t="shared" si="12"/>
        <v/>
      </c>
      <c r="AC37" s="140" t="str">
        <f t="array" ref="AC37">IF(AB37="","",IFERROR(INDEX(HELPER!$D$8:$D$48,IF(AB37&gt;=HELPER!$B$8,1,MATCH(AB37,HELPER!$B$8:$B$48,-1)+1)),""))</f>
        <v/>
      </c>
      <c r="AD37" s="141" t="str">
        <f>IF(AC37="","",IFERROR(VLOOKUP(AC37,HELPER!$F$8:$G$48,2,FALSE),""))</f>
        <v/>
      </c>
      <c r="AE37" s="6"/>
      <c r="AF37" s="12"/>
    </row>
    <row r="38" ht="15.0" customHeight="1">
      <c r="A38" s="6"/>
      <c r="B38" s="168">
        <v>21.0</v>
      </c>
      <c r="C38" s="145" t="str">
        <f>IF('INPUT DATA'!K31="","",'INPUT DATA'!K31)</f>
        <v/>
      </c>
      <c r="D38" s="107"/>
      <c r="E38" s="108"/>
      <c r="F38" s="128"/>
      <c r="G38" s="129"/>
      <c r="H38" s="129"/>
      <c r="I38" s="129"/>
      <c r="J38" s="130"/>
      <c r="K38" s="132" t="str">
        <f t="shared" si="1"/>
        <v/>
      </c>
      <c r="L38" s="133" t="str">
        <f t="shared" si="2"/>
        <v/>
      </c>
      <c r="M38" s="149" t="str">
        <f t="shared" si="3"/>
        <v/>
      </c>
      <c r="N38" s="128"/>
      <c r="O38" s="129"/>
      <c r="P38" s="130"/>
      <c r="Q38" s="132" t="str">
        <f t="shared" si="4"/>
        <v/>
      </c>
      <c r="R38" s="133" t="str">
        <f t="shared" si="5"/>
        <v/>
      </c>
      <c r="S38" s="149" t="str">
        <f t="shared" si="6"/>
        <v/>
      </c>
      <c r="T38" s="128"/>
      <c r="U38" s="129"/>
      <c r="V38" s="130"/>
      <c r="W38" s="136" t="str">
        <f t="shared" si="7"/>
        <v/>
      </c>
      <c r="X38" s="133" t="str">
        <f t="shared" si="8"/>
        <v/>
      </c>
      <c r="Y38" s="134" t="str">
        <f t="shared" si="9"/>
        <v/>
      </c>
      <c r="Z38" s="137" t="str">
        <f t="shared" si="10"/>
        <v/>
      </c>
      <c r="AA38" s="150" t="str">
        <f t="shared" si="11"/>
        <v/>
      </c>
      <c r="AB38" s="151" t="str">
        <f t="shared" si="12"/>
        <v/>
      </c>
      <c r="AC38" s="140" t="str">
        <f t="array" ref="AC38">IF(AB38="","",IFERROR(INDEX(HELPER!$D$8:$D$48,IF(AB38&gt;=HELPER!$B$8,1,MATCH(AB38,HELPER!$B$8:$B$48,-1)+1)),""))</f>
        <v/>
      </c>
      <c r="AD38" s="141" t="str">
        <f>IF(AC38="","",IFERROR(VLOOKUP(AC38,HELPER!$F$8:$G$48,2,FALSE),""))</f>
        <v/>
      </c>
      <c r="AE38" s="6"/>
      <c r="AF38" s="12"/>
    </row>
    <row r="39" ht="15.0" customHeight="1">
      <c r="A39" s="6"/>
      <c r="B39" s="168">
        <v>22.0</v>
      </c>
      <c r="C39" s="145" t="str">
        <f>IF('INPUT DATA'!K32="","",'INPUT DATA'!K32)</f>
        <v/>
      </c>
      <c r="D39" s="107"/>
      <c r="E39" s="108"/>
      <c r="F39" s="128"/>
      <c r="G39" s="129"/>
      <c r="H39" s="129"/>
      <c r="I39" s="129"/>
      <c r="J39" s="130"/>
      <c r="K39" s="132" t="str">
        <f t="shared" si="1"/>
        <v/>
      </c>
      <c r="L39" s="133" t="str">
        <f t="shared" si="2"/>
        <v/>
      </c>
      <c r="M39" s="149" t="str">
        <f t="shared" si="3"/>
        <v/>
      </c>
      <c r="N39" s="128"/>
      <c r="O39" s="129"/>
      <c r="P39" s="130"/>
      <c r="Q39" s="132" t="str">
        <f t="shared" si="4"/>
        <v/>
      </c>
      <c r="R39" s="133" t="str">
        <f t="shared" si="5"/>
        <v/>
      </c>
      <c r="S39" s="149" t="str">
        <f t="shared" si="6"/>
        <v/>
      </c>
      <c r="T39" s="128"/>
      <c r="U39" s="129"/>
      <c r="V39" s="130"/>
      <c r="W39" s="136" t="str">
        <f t="shared" si="7"/>
        <v/>
      </c>
      <c r="X39" s="133" t="str">
        <f t="shared" si="8"/>
        <v/>
      </c>
      <c r="Y39" s="134" t="str">
        <f t="shared" si="9"/>
        <v/>
      </c>
      <c r="Z39" s="137" t="str">
        <f t="shared" si="10"/>
        <v/>
      </c>
      <c r="AA39" s="150" t="str">
        <f t="shared" si="11"/>
        <v/>
      </c>
      <c r="AB39" s="151" t="str">
        <f t="shared" si="12"/>
        <v/>
      </c>
      <c r="AC39" s="140" t="str">
        <f t="array" ref="AC39">IF(AB39="","",IFERROR(INDEX(HELPER!$D$8:$D$48,IF(AB39&gt;=HELPER!$B$8,1,MATCH(AB39,HELPER!$B$8:$B$48,-1)+1)),""))</f>
        <v/>
      </c>
      <c r="AD39" s="141" t="str">
        <f>IF(AC39="","",IFERROR(VLOOKUP(AC39,HELPER!$F$8:$G$48,2,FALSE),""))</f>
        <v/>
      </c>
      <c r="AE39" s="6"/>
      <c r="AF39" s="12"/>
    </row>
    <row r="40" ht="15.0" customHeight="1">
      <c r="A40" s="6"/>
      <c r="B40" s="168">
        <v>23.0</v>
      </c>
      <c r="C40" s="145" t="str">
        <f>IF('INPUT DATA'!K33="","",'INPUT DATA'!K33)</f>
        <v/>
      </c>
      <c r="D40" s="107"/>
      <c r="E40" s="108"/>
      <c r="F40" s="128"/>
      <c r="G40" s="129"/>
      <c r="H40" s="129"/>
      <c r="I40" s="129"/>
      <c r="J40" s="130"/>
      <c r="K40" s="132" t="str">
        <f t="shared" si="1"/>
        <v/>
      </c>
      <c r="L40" s="133" t="str">
        <f t="shared" si="2"/>
        <v/>
      </c>
      <c r="M40" s="149" t="str">
        <f t="shared" si="3"/>
        <v/>
      </c>
      <c r="N40" s="128"/>
      <c r="O40" s="129"/>
      <c r="P40" s="130"/>
      <c r="Q40" s="132" t="str">
        <f t="shared" si="4"/>
        <v/>
      </c>
      <c r="R40" s="133" t="str">
        <f t="shared" si="5"/>
        <v/>
      </c>
      <c r="S40" s="149" t="str">
        <f t="shared" si="6"/>
        <v/>
      </c>
      <c r="T40" s="128"/>
      <c r="U40" s="129"/>
      <c r="V40" s="130"/>
      <c r="W40" s="136" t="str">
        <f t="shared" si="7"/>
        <v/>
      </c>
      <c r="X40" s="133" t="str">
        <f t="shared" si="8"/>
        <v/>
      </c>
      <c r="Y40" s="134" t="str">
        <f t="shared" si="9"/>
        <v/>
      </c>
      <c r="Z40" s="137" t="str">
        <f t="shared" si="10"/>
        <v/>
      </c>
      <c r="AA40" s="150" t="str">
        <f t="shared" si="11"/>
        <v/>
      </c>
      <c r="AB40" s="151" t="str">
        <f t="shared" si="12"/>
        <v/>
      </c>
      <c r="AC40" s="140" t="str">
        <f t="array" ref="AC40">IF(AB40="","",IFERROR(INDEX(HELPER!$D$8:$D$48,IF(AB40&gt;=HELPER!$B$8,1,MATCH(AB40,HELPER!$B$8:$B$48,-1)+1)),""))</f>
        <v/>
      </c>
      <c r="AD40" s="141" t="str">
        <f>IF(AC40="","",IFERROR(VLOOKUP(AC40,HELPER!$F$8:$G$48,2,FALSE),""))</f>
        <v/>
      </c>
      <c r="AE40" s="6"/>
      <c r="AF40" s="12"/>
    </row>
    <row r="41" ht="15.0" customHeight="1">
      <c r="A41" s="6"/>
      <c r="B41" s="168">
        <v>24.0</v>
      </c>
      <c r="C41" s="145" t="str">
        <f>IF('INPUT DATA'!K34="","",'INPUT DATA'!K34)</f>
        <v/>
      </c>
      <c r="D41" s="107"/>
      <c r="E41" s="108"/>
      <c r="F41" s="128"/>
      <c r="G41" s="129"/>
      <c r="H41" s="129"/>
      <c r="I41" s="129"/>
      <c r="J41" s="130"/>
      <c r="K41" s="132" t="str">
        <f t="shared" si="1"/>
        <v/>
      </c>
      <c r="L41" s="133" t="str">
        <f t="shared" si="2"/>
        <v/>
      </c>
      <c r="M41" s="149" t="str">
        <f t="shared" si="3"/>
        <v/>
      </c>
      <c r="N41" s="128"/>
      <c r="O41" s="129"/>
      <c r="P41" s="130"/>
      <c r="Q41" s="132" t="str">
        <f t="shared" si="4"/>
        <v/>
      </c>
      <c r="R41" s="133" t="str">
        <f t="shared" si="5"/>
        <v/>
      </c>
      <c r="S41" s="149" t="str">
        <f t="shared" si="6"/>
        <v/>
      </c>
      <c r="T41" s="128"/>
      <c r="U41" s="129"/>
      <c r="V41" s="130"/>
      <c r="W41" s="136" t="str">
        <f t="shared" si="7"/>
        <v/>
      </c>
      <c r="X41" s="133" t="str">
        <f t="shared" si="8"/>
        <v/>
      </c>
      <c r="Y41" s="134" t="str">
        <f t="shared" si="9"/>
        <v/>
      </c>
      <c r="Z41" s="137" t="str">
        <f t="shared" si="10"/>
        <v/>
      </c>
      <c r="AA41" s="150" t="str">
        <f t="shared" si="11"/>
        <v/>
      </c>
      <c r="AB41" s="151" t="str">
        <f t="shared" si="12"/>
        <v/>
      </c>
      <c r="AC41" s="140" t="str">
        <f t="array" ref="AC41">IF(AB41="","",IFERROR(INDEX(HELPER!$D$8:$D$48,IF(AB41&gt;=HELPER!$B$8,1,MATCH(AB41,HELPER!$B$8:$B$48,-1)+1)),""))</f>
        <v/>
      </c>
      <c r="AD41" s="141" t="str">
        <f>IF(AC41="","",IFERROR(VLOOKUP(AC41,HELPER!$F$8:$G$48,2,FALSE),""))</f>
        <v/>
      </c>
      <c r="AE41" s="6"/>
      <c r="AF41" s="12"/>
    </row>
    <row r="42" ht="15.0" customHeight="1">
      <c r="A42" s="6"/>
      <c r="B42" s="168">
        <v>25.0</v>
      </c>
      <c r="C42" s="145" t="str">
        <f>IF('INPUT DATA'!K35="","",'INPUT DATA'!K35)</f>
        <v/>
      </c>
      <c r="D42" s="107"/>
      <c r="E42" s="108"/>
      <c r="F42" s="128"/>
      <c r="G42" s="129"/>
      <c r="H42" s="129"/>
      <c r="I42" s="129"/>
      <c r="J42" s="130"/>
      <c r="K42" s="132" t="str">
        <f t="shared" si="1"/>
        <v/>
      </c>
      <c r="L42" s="133" t="str">
        <f t="shared" si="2"/>
        <v/>
      </c>
      <c r="M42" s="149" t="str">
        <f t="shared" si="3"/>
        <v/>
      </c>
      <c r="N42" s="128"/>
      <c r="O42" s="129"/>
      <c r="P42" s="130"/>
      <c r="Q42" s="132" t="str">
        <f t="shared" si="4"/>
        <v/>
      </c>
      <c r="R42" s="133" t="str">
        <f t="shared" si="5"/>
        <v/>
      </c>
      <c r="S42" s="149" t="str">
        <f t="shared" si="6"/>
        <v/>
      </c>
      <c r="T42" s="128"/>
      <c r="U42" s="129"/>
      <c r="V42" s="130"/>
      <c r="W42" s="136" t="str">
        <f t="shared" si="7"/>
        <v/>
      </c>
      <c r="X42" s="133" t="str">
        <f t="shared" si="8"/>
        <v/>
      </c>
      <c r="Y42" s="134" t="str">
        <f t="shared" si="9"/>
        <v/>
      </c>
      <c r="Z42" s="137" t="str">
        <f t="shared" si="10"/>
        <v/>
      </c>
      <c r="AA42" s="150" t="str">
        <f t="shared" si="11"/>
        <v/>
      </c>
      <c r="AB42" s="151" t="str">
        <f t="shared" si="12"/>
        <v/>
      </c>
      <c r="AC42" s="140" t="str">
        <f t="array" ref="AC42">IF(AB42="","",IFERROR(INDEX(HELPER!$D$8:$D$48,IF(AB42&gt;=HELPER!$B$8,1,MATCH(AB42,HELPER!$B$8:$B$48,-1)+1)),""))</f>
        <v/>
      </c>
      <c r="AD42" s="141" t="str">
        <f>IF(AC42="","",IFERROR(VLOOKUP(AC42,HELPER!$F$8:$G$48,2,FALSE),""))</f>
        <v/>
      </c>
      <c r="AE42" s="6"/>
      <c r="AF42" s="12"/>
    </row>
    <row r="43" ht="15.0" customHeight="1">
      <c r="A43" s="6"/>
      <c r="B43" s="168">
        <v>26.0</v>
      </c>
      <c r="C43" s="145" t="str">
        <f>IF('INPUT DATA'!K36="","",'INPUT DATA'!K36)</f>
        <v/>
      </c>
      <c r="D43" s="107"/>
      <c r="E43" s="108"/>
      <c r="F43" s="128"/>
      <c r="G43" s="129"/>
      <c r="H43" s="129"/>
      <c r="I43" s="129"/>
      <c r="J43" s="130"/>
      <c r="K43" s="132" t="str">
        <f t="shared" si="1"/>
        <v/>
      </c>
      <c r="L43" s="133" t="str">
        <f t="shared" si="2"/>
        <v/>
      </c>
      <c r="M43" s="149" t="str">
        <f t="shared" si="3"/>
        <v/>
      </c>
      <c r="N43" s="128"/>
      <c r="O43" s="129"/>
      <c r="P43" s="130"/>
      <c r="Q43" s="132" t="str">
        <f t="shared" si="4"/>
        <v/>
      </c>
      <c r="R43" s="133" t="str">
        <f t="shared" si="5"/>
        <v/>
      </c>
      <c r="S43" s="149" t="str">
        <f t="shared" si="6"/>
        <v/>
      </c>
      <c r="T43" s="128"/>
      <c r="U43" s="129"/>
      <c r="V43" s="130"/>
      <c r="W43" s="136" t="str">
        <f t="shared" si="7"/>
        <v/>
      </c>
      <c r="X43" s="133" t="str">
        <f t="shared" si="8"/>
        <v/>
      </c>
      <c r="Y43" s="134" t="str">
        <f t="shared" si="9"/>
        <v/>
      </c>
      <c r="Z43" s="137" t="str">
        <f t="shared" si="10"/>
        <v/>
      </c>
      <c r="AA43" s="150" t="str">
        <f t="shared" si="11"/>
        <v/>
      </c>
      <c r="AB43" s="151" t="str">
        <f t="shared" si="12"/>
        <v/>
      </c>
      <c r="AC43" s="140" t="str">
        <f t="array" ref="AC43">IF(AB43="","",IFERROR(INDEX(HELPER!$D$8:$D$48,IF(AB43&gt;=HELPER!$B$8,1,MATCH(AB43,HELPER!$B$8:$B$48,-1)+1)),""))</f>
        <v/>
      </c>
      <c r="AD43" s="141" t="str">
        <f>IF(AC43="","",IFERROR(VLOOKUP(AC43,HELPER!$F$8:$G$48,2,FALSE),""))</f>
        <v/>
      </c>
      <c r="AE43" s="6"/>
      <c r="AF43" s="12"/>
    </row>
    <row r="44" ht="15.0" customHeight="1">
      <c r="A44" s="6"/>
      <c r="B44" s="168">
        <v>27.0</v>
      </c>
      <c r="C44" s="145" t="str">
        <f>IF('INPUT DATA'!K37="","",'INPUT DATA'!K37)</f>
        <v/>
      </c>
      <c r="D44" s="107"/>
      <c r="E44" s="108"/>
      <c r="F44" s="128"/>
      <c r="G44" s="129"/>
      <c r="H44" s="129"/>
      <c r="I44" s="129"/>
      <c r="J44" s="130"/>
      <c r="K44" s="132" t="str">
        <f t="shared" si="1"/>
        <v/>
      </c>
      <c r="L44" s="133" t="str">
        <f t="shared" si="2"/>
        <v/>
      </c>
      <c r="M44" s="149" t="str">
        <f t="shared" si="3"/>
        <v/>
      </c>
      <c r="N44" s="128"/>
      <c r="O44" s="129"/>
      <c r="P44" s="130"/>
      <c r="Q44" s="132" t="str">
        <f t="shared" si="4"/>
        <v/>
      </c>
      <c r="R44" s="133" t="str">
        <f t="shared" si="5"/>
        <v/>
      </c>
      <c r="S44" s="149" t="str">
        <f t="shared" si="6"/>
        <v/>
      </c>
      <c r="T44" s="128"/>
      <c r="U44" s="129"/>
      <c r="V44" s="130"/>
      <c r="W44" s="136" t="str">
        <f t="shared" si="7"/>
        <v/>
      </c>
      <c r="X44" s="133" t="str">
        <f t="shared" si="8"/>
        <v/>
      </c>
      <c r="Y44" s="134" t="str">
        <f t="shared" si="9"/>
        <v/>
      </c>
      <c r="Z44" s="137" t="str">
        <f t="shared" si="10"/>
        <v/>
      </c>
      <c r="AA44" s="150" t="str">
        <f t="shared" si="11"/>
        <v/>
      </c>
      <c r="AB44" s="151" t="str">
        <f t="shared" si="12"/>
        <v/>
      </c>
      <c r="AC44" s="140" t="str">
        <f t="array" ref="AC44">IF(AB44="","",IFERROR(INDEX(HELPER!$D$8:$D$48,IF(AB44&gt;=HELPER!$B$8,1,MATCH(AB44,HELPER!$B$8:$B$48,-1)+1)),""))</f>
        <v/>
      </c>
      <c r="AD44" s="141" t="str">
        <f>IF(AC44="","",IFERROR(VLOOKUP(AC44,HELPER!$F$8:$G$48,2,FALSE),""))</f>
        <v/>
      </c>
      <c r="AE44" s="6"/>
      <c r="AF44" s="12"/>
    </row>
    <row r="45" ht="15.0" customHeight="1">
      <c r="A45" s="6"/>
      <c r="B45" s="168">
        <v>28.0</v>
      </c>
      <c r="C45" s="145" t="str">
        <f>IF('INPUT DATA'!K38="","",'INPUT DATA'!K38)</f>
        <v/>
      </c>
      <c r="D45" s="107"/>
      <c r="E45" s="108"/>
      <c r="F45" s="128"/>
      <c r="G45" s="129"/>
      <c r="H45" s="129"/>
      <c r="I45" s="129"/>
      <c r="J45" s="130"/>
      <c r="K45" s="132" t="str">
        <f t="shared" si="1"/>
        <v/>
      </c>
      <c r="L45" s="133" t="str">
        <f t="shared" si="2"/>
        <v/>
      </c>
      <c r="M45" s="149" t="str">
        <f t="shared" si="3"/>
        <v/>
      </c>
      <c r="N45" s="128"/>
      <c r="O45" s="129"/>
      <c r="P45" s="130"/>
      <c r="Q45" s="132" t="str">
        <f t="shared" si="4"/>
        <v/>
      </c>
      <c r="R45" s="133" t="str">
        <f t="shared" si="5"/>
        <v/>
      </c>
      <c r="S45" s="149" t="str">
        <f t="shared" si="6"/>
        <v/>
      </c>
      <c r="T45" s="128"/>
      <c r="U45" s="129"/>
      <c r="V45" s="130"/>
      <c r="W45" s="136" t="str">
        <f t="shared" si="7"/>
        <v/>
      </c>
      <c r="X45" s="133" t="str">
        <f t="shared" si="8"/>
        <v/>
      </c>
      <c r="Y45" s="134" t="str">
        <f t="shared" si="9"/>
        <v/>
      </c>
      <c r="Z45" s="137" t="str">
        <f t="shared" si="10"/>
        <v/>
      </c>
      <c r="AA45" s="150" t="str">
        <f t="shared" si="11"/>
        <v/>
      </c>
      <c r="AB45" s="151" t="str">
        <f t="shared" si="12"/>
        <v/>
      </c>
      <c r="AC45" s="140" t="str">
        <f t="array" ref="AC45">IF(AB45="","",IFERROR(INDEX(HELPER!$D$8:$D$48,IF(AB45&gt;=HELPER!$B$8,1,MATCH(AB45,HELPER!$B$8:$B$48,-1)+1)),""))</f>
        <v/>
      </c>
      <c r="AD45" s="141" t="str">
        <f>IF(AC45="","",IFERROR(VLOOKUP(AC45,HELPER!$F$8:$G$48,2,FALSE),""))</f>
        <v/>
      </c>
      <c r="AE45" s="6"/>
      <c r="AF45" s="12"/>
    </row>
    <row r="46" ht="15.0" customHeight="1">
      <c r="A46" s="6"/>
      <c r="B46" s="168">
        <v>29.0</v>
      </c>
      <c r="C46" s="145" t="str">
        <f>IF('INPUT DATA'!K39="","",'INPUT DATA'!K39)</f>
        <v/>
      </c>
      <c r="D46" s="107"/>
      <c r="E46" s="108"/>
      <c r="F46" s="128"/>
      <c r="G46" s="129"/>
      <c r="H46" s="129"/>
      <c r="I46" s="129"/>
      <c r="J46" s="130"/>
      <c r="K46" s="132" t="str">
        <f t="shared" si="1"/>
        <v/>
      </c>
      <c r="L46" s="133" t="str">
        <f t="shared" si="2"/>
        <v/>
      </c>
      <c r="M46" s="149" t="str">
        <f t="shared" si="3"/>
        <v/>
      </c>
      <c r="N46" s="128"/>
      <c r="O46" s="129"/>
      <c r="P46" s="130"/>
      <c r="Q46" s="132" t="str">
        <f t="shared" si="4"/>
        <v/>
      </c>
      <c r="R46" s="133" t="str">
        <f t="shared" si="5"/>
        <v/>
      </c>
      <c r="S46" s="149" t="str">
        <f t="shared" si="6"/>
        <v/>
      </c>
      <c r="T46" s="128"/>
      <c r="U46" s="129"/>
      <c r="V46" s="130"/>
      <c r="W46" s="136" t="str">
        <f t="shared" si="7"/>
        <v/>
      </c>
      <c r="X46" s="133" t="str">
        <f t="shared" si="8"/>
        <v/>
      </c>
      <c r="Y46" s="134" t="str">
        <f t="shared" si="9"/>
        <v/>
      </c>
      <c r="Z46" s="137" t="str">
        <f t="shared" si="10"/>
        <v/>
      </c>
      <c r="AA46" s="150" t="str">
        <f t="shared" si="11"/>
        <v/>
      </c>
      <c r="AB46" s="151" t="str">
        <f t="shared" si="12"/>
        <v/>
      </c>
      <c r="AC46" s="140" t="str">
        <f t="array" ref="AC46">IF(AB46="","",IFERROR(INDEX(HELPER!$D$8:$D$48,IF(AB46&gt;=HELPER!$B$8,1,MATCH(AB46,HELPER!$B$8:$B$48,-1)+1)),""))</f>
        <v/>
      </c>
      <c r="AD46" s="141" t="str">
        <f>IF(AC46="","",IFERROR(VLOOKUP(AC46,HELPER!$F$8:$G$48,2,FALSE),""))</f>
        <v/>
      </c>
      <c r="AE46" s="6"/>
      <c r="AF46" s="12"/>
    </row>
    <row r="47" ht="15.0" customHeight="1">
      <c r="A47" s="6"/>
      <c r="B47" s="168">
        <v>30.0</v>
      </c>
      <c r="C47" s="145" t="str">
        <f>IF('INPUT DATA'!K40="","",'INPUT DATA'!K40)</f>
        <v/>
      </c>
      <c r="D47" s="107"/>
      <c r="E47" s="108"/>
      <c r="F47" s="128"/>
      <c r="G47" s="129"/>
      <c r="H47" s="129"/>
      <c r="I47" s="129"/>
      <c r="J47" s="130"/>
      <c r="K47" s="132" t="str">
        <f t="shared" si="1"/>
        <v/>
      </c>
      <c r="L47" s="133" t="str">
        <f t="shared" si="2"/>
        <v/>
      </c>
      <c r="M47" s="149" t="str">
        <f t="shared" si="3"/>
        <v/>
      </c>
      <c r="N47" s="128"/>
      <c r="O47" s="129"/>
      <c r="P47" s="130"/>
      <c r="Q47" s="132" t="str">
        <f t="shared" si="4"/>
        <v/>
      </c>
      <c r="R47" s="133" t="str">
        <f t="shared" si="5"/>
        <v/>
      </c>
      <c r="S47" s="149" t="str">
        <f t="shared" si="6"/>
        <v/>
      </c>
      <c r="T47" s="128"/>
      <c r="U47" s="129"/>
      <c r="V47" s="130"/>
      <c r="W47" s="136" t="str">
        <f t="shared" si="7"/>
        <v/>
      </c>
      <c r="X47" s="133" t="str">
        <f t="shared" si="8"/>
        <v/>
      </c>
      <c r="Y47" s="134" t="str">
        <f t="shared" si="9"/>
        <v/>
      </c>
      <c r="Z47" s="137" t="str">
        <f t="shared" si="10"/>
        <v/>
      </c>
      <c r="AA47" s="150" t="str">
        <f t="shared" si="11"/>
        <v/>
      </c>
      <c r="AB47" s="151" t="str">
        <f t="shared" si="12"/>
        <v/>
      </c>
      <c r="AC47" s="140" t="str">
        <f t="array" ref="AC47">IF(AB47="","",IFERROR(INDEX(HELPER!$D$8:$D$48,IF(AB47&gt;=HELPER!$B$8,1,MATCH(AB47,HELPER!$B$8:$B$48,-1)+1)),""))</f>
        <v/>
      </c>
      <c r="AD47" s="141" t="str">
        <f>IF(AC47="","",IFERROR(VLOOKUP(AC47,HELPER!$F$8:$G$48,2,FALSE),""))</f>
        <v/>
      </c>
      <c r="AE47" s="6"/>
      <c r="AF47" s="12"/>
    </row>
    <row r="48" ht="15.0" customHeight="1">
      <c r="A48" s="6"/>
      <c r="B48" s="168">
        <v>31.0</v>
      </c>
      <c r="C48" s="145" t="str">
        <f>IF('INPUT DATA'!K41="","",'INPUT DATA'!K41)</f>
        <v/>
      </c>
      <c r="D48" s="107"/>
      <c r="E48" s="108"/>
      <c r="F48" s="128"/>
      <c r="G48" s="129"/>
      <c r="H48" s="129"/>
      <c r="I48" s="129"/>
      <c r="J48" s="130"/>
      <c r="K48" s="132" t="str">
        <f t="shared" si="1"/>
        <v/>
      </c>
      <c r="L48" s="133" t="str">
        <f t="shared" si="2"/>
        <v/>
      </c>
      <c r="M48" s="149" t="str">
        <f t="shared" si="3"/>
        <v/>
      </c>
      <c r="N48" s="128"/>
      <c r="O48" s="129"/>
      <c r="P48" s="130"/>
      <c r="Q48" s="132" t="str">
        <f t="shared" si="4"/>
        <v/>
      </c>
      <c r="R48" s="133" t="str">
        <f t="shared" si="5"/>
        <v/>
      </c>
      <c r="S48" s="149" t="str">
        <f t="shared" si="6"/>
        <v/>
      </c>
      <c r="T48" s="128"/>
      <c r="U48" s="129"/>
      <c r="V48" s="130"/>
      <c r="W48" s="136" t="str">
        <f t="shared" si="7"/>
        <v/>
      </c>
      <c r="X48" s="133" t="str">
        <f t="shared" si="8"/>
        <v/>
      </c>
      <c r="Y48" s="134" t="str">
        <f t="shared" si="9"/>
        <v/>
      </c>
      <c r="Z48" s="137" t="str">
        <f t="shared" si="10"/>
        <v/>
      </c>
      <c r="AA48" s="150" t="str">
        <f t="shared" si="11"/>
        <v/>
      </c>
      <c r="AB48" s="151" t="str">
        <f t="shared" si="12"/>
        <v/>
      </c>
      <c r="AC48" s="140" t="str">
        <f t="array" ref="AC48">IF(AB48="","",IFERROR(INDEX(HELPER!$D$8:$D$48,IF(AB48&gt;=HELPER!$B$8,1,MATCH(AB48,HELPER!$B$8:$B$48,-1)+1)),""))</f>
        <v/>
      </c>
      <c r="AD48" s="141" t="str">
        <f>IF(AC48="","",IFERROR(VLOOKUP(AC48,HELPER!$F$8:$G$48,2,FALSE),""))</f>
        <v/>
      </c>
      <c r="AE48" s="6"/>
      <c r="AF48" s="12"/>
    </row>
    <row r="49" ht="15.0" customHeight="1">
      <c r="A49" s="6"/>
      <c r="B49" s="168">
        <v>32.0</v>
      </c>
      <c r="C49" s="145" t="str">
        <f>IF('INPUT DATA'!K42="","",'INPUT DATA'!K42)</f>
        <v/>
      </c>
      <c r="D49" s="107"/>
      <c r="E49" s="108"/>
      <c r="F49" s="128"/>
      <c r="G49" s="129"/>
      <c r="H49" s="129"/>
      <c r="I49" s="129"/>
      <c r="J49" s="130"/>
      <c r="K49" s="132" t="str">
        <f t="shared" si="1"/>
        <v/>
      </c>
      <c r="L49" s="133" t="str">
        <f t="shared" si="2"/>
        <v/>
      </c>
      <c r="M49" s="149" t="str">
        <f t="shared" si="3"/>
        <v/>
      </c>
      <c r="N49" s="128"/>
      <c r="O49" s="129"/>
      <c r="P49" s="130"/>
      <c r="Q49" s="132" t="str">
        <f t="shared" si="4"/>
        <v/>
      </c>
      <c r="R49" s="133" t="str">
        <f t="shared" si="5"/>
        <v/>
      </c>
      <c r="S49" s="149" t="str">
        <f t="shared" si="6"/>
        <v/>
      </c>
      <c r="T49" s="128"/>
      <c r="U49" s="129"/>
      <c r="V49" s="130"/>
      <c r="W49" s="136" t="str">
        <f t="shared" si="7"/>
        <v/>
      </c>
      <c r="X49" s="133" t="str">
        <f t="shared" si="8"/>
        <v/>
      </c>
      <c r="Y49" s="134" t="str">
        <f t="shared" si="9"/>
        <v/>
      </c>
      <c r="Z49" s="137" t="str">
        <f t="shared" si="10"/>
        <v/>
      </c>
      <c r="AA49" s="150" t="str">
        <f t="shared" si="11"/>
        <v/>
      </c>
      <c r="AB49" s="151" t="str">
        <f t="shared" si="12"/>
        <v/>
      </c>
      <c r="AC49" s="140" t="str">
        <f t="array" ref="AC49">IF(AB49="","",IFERROR(INDEX(HELPER!$D$8:$D$48,IF(AB49&gt;=HELPER!$B$8,1,MATCH(AB49,HELPER!$B$8:$B$48,-1)+1)),""))</f>
        <v/>
      </c>
      <c r="AD49" s="141" t="str">
        <f>IF(AC49="","",IFERROR(VLOOKUP(AC49,HELPER!$F$8:$G$48,2,FALSE),""))</f>
        <v/>
      </c>
      <c r="AE49" s="6"/>
      <c r="AF49" s="12"/>
    </row>
    <row r="50" ht="15.0" customHeight="1">
      <c r="A50" s="6"/>
      <c r="B50" s="168">
        <v>33.0</v>
      </c>
      <c r="C50" s="145" t="str">
        <f>IF('INPUT DATA'!K43="","",'INPUT DATA'!K43)</f>
        <v/>
      </c>
      <c r="D50" s="107"/>
      <c r="E50" s="108"/>
      <c r="F50" s="128"/>
      <c r="G50" s="129"/>
      <c r="H50" s="129"/>
      <c r="I50" s="129"/>
      <c r="J50" s="130"/>
      <c r="K50" s="132" t="str">
        <f t="shared" si="1"/>
        <v/>
      </c>
      <c r="L50" s="133" t="str">
        <f t="shared" si="2"/>
        <v/>
      </c>
      <c r="M50" s="149" t="str">
        <f t="shared" si="3"/>
        <v/>
      </c>
      <c r="N50" s="128"/>
      <c r="O50" s="129"/>
      <c r="P50" s="130"/>
      <c r="Q50" s="132" t="str">
        <f t="shared" si="4"/>
        <v/>
      </c>
      <c r="R50" s="133" t="str">
        <f t="shared" si="5"/>
        <v/>
      </c>
      <c r="S50" s="149" t="str">
        <f t="shared" si="6"/>
        <v/>
      </c>
      <c r="T50" s="128"/>
      <c r="U50" s="129"/>
      <c r="V50" s="130"/>
      <c r="W50" s="136" t="str">
        <f t="shared" si="7"/>
        <v/>
      </c>
      <c r="X50" s="133" t="str">
        <f t="shared" si="8"/>
        <v/>
      </c>
      <c r="Y50" s="134" t="str">
        <f t="shared" si="9"/>
        <v/>
      </c>
      <c r="Z50" s="137" t="str">
        <f t="shared" si="10"/>
        <v/>
      </c>
      <c r="AA50" s="150" t="str">
        <f t="shared" si="11"/>
        <v/>
      </c>
      <c r="AB50" s="151" t="str">
        <f t="shared" si="12"/>
        <v/>
      </c>
      <c r="AC50" s="140" t="str">
        <f t="array" ref="AC50">IF(AB50="","",IFERROR(INDEX(HELPER!$D$8:$D$48,IF(AB50&gt;=HELPER!$B$8,1,MATCH(AB50,HELPER!$B$8:$B$48,-1)+1)),""))</f>
        <v/>
      </c>
      <c r="AD50" s="141" t="str">
        <f>IF(AC50="","",IFERROR(VLOOKUP(AC50,HELPER!$F$8:$G$48,2,FALSE),""))</f>
        <v/>
      </c>
      <c r="AE50" s="6"/>
      <c r="AF50" s="12"/>
    </row>
    <row r="51" ht="15.0" customHeight="1">
      <c r="A51" s="6"/>
      <c r="B51" s="168">
        <v>34.0</v>
      </c>
      <c r="C51" s="145" t="str">
        <f>IF('INPUT DATA'!K44="","",'INPUT DATA'!K44)</f>
        <v/>
      </c>
      <c r="D51" s="107"/>
      <c r="E51" s="108"/>
      <c r="F51" s="128"/>
      <c r="G51" s="129"/>
      <c r="H51" s="129"/>
      <c r="I51" s="129"/>
      <c r="J51" s="130"/>
      <c r="K51" s="132" t="str">
        <f t="shared" si="1"/>
        <v/>
      </c>
      <c r="L51" s="133" t="str">
        <f t="shared" si="2"/>
        <v/>
      </c>
      <c r="M51" s="149" t="str">
        <f t="shared" si="3"/>
        <v/>
      </c>
      <c r="N51" s="128"/>
      <c r="O51" s="129"/>
      <c r="P51" s="130"/>
      <c r="Q51" s="132" t="str">
        <f t="shared" si="4"/>
        <v/>
      </c>
      <c r="R51" s="133" t="str">
        <f t="shared" si="5"/>
        <v/>
      </c>
      <c r="S51" s="149" t="str">
        <f t="shared" si="6"/>
        <v/>
      </c>
      <c r="T51" s="128"/>
      <c r="U51" s="129"/>
      <c r="V51" s="130"/>
      <c r="W51" s="136" t="str">
        <f t="shared" si="7"/>
        <v/>
      </c>
      <c r="X51" s="133" t="str">
        <f t="shared" si="8"/>
        <v/>
      </c>
      <c r="Y51" s="134" t="str">
        <f t="shared" si="9"/>
        <v/>
      </c>
      <c r="Z51" s="137" t="str">
        <f t="shared" si="10"/>
        <v/>
      </c>
      <c r="AA51" s="150" t="str">
        <f t="shared" si="11"/>
        <v/>
      </c>
      <c r="AB51" s="151" t="str">
        <f t="shared" si="12"/>
        <v/>
      </c>
      <c r="AC51" s="140" t="str">
        <f t="array" ref="AC51">IF(AB51="","",IFERROR(INDEX(HELPER!$D$8:$D$48,IF(AB51&gt;=HELPER!$B$8,1,MATCH(AB51,HELPER!$B$8:$B$48,-1)+1)),""))</f>
        <v/>
      </c>
      <c r="AD51" s="141" t="str">
        <f>IF(AC51="","",IFERROR(VLOOKUP(AC51,HELPER!$F$8:$G$48,2,FALSE),""))</f>
        <v/>
      </c>
      <c r="AE51" s="6"/>
      <c r="AF51" s="12"/>
    </row>
    <row r="52" ht="15.0" customHeight="1">
      <c r="A52" s="6"/>
      <c r="B52" s="168">
        <v>35.0</v>
      </c>
      <c r="C52" s="145" t="str">
        <f>IF('INPUT DATA'!K45="","",'INPUT DATA'!K45)</f>
        <v/>
      </c>
      <c r="D52" s="107"/>
      <c r="E52" s="108"/>
      <c r="F52" s="128"/>
      <c r="G52" s="129"/>
      <c r="H52" s="129"/>
      <c r="I52" s="129"/>
      <c r="J52" s="130"/>
      <c r="K52" s="132" t="str">
        <f t="shared" si="1"/>
        <v/>
      </c>
      <c r="L52" s="133" t="str">
        <f t="shared" si="2"/>
        <v/>
      </c>
      <c r="M52" s="149" t="str">
        <f t="shared" si="3"/>
        <v/>
      </c>
      <c r="N52" s="128"/>
      <c r="O52" s="129"/>
      <c r="P52" s="130"/>
      <c r="Q52" s="132" t="str">
        <f t="shared" si="4"/>
        <v/>
      </c>
      <c r="R52" s="133" t="str">
        <f t="shared" si="5"/>
        <v/>
      </c>
      <c r="S52" s="149" t="str">
        <f t="shared" si="6"/>
        <v/>
      </c>
      <c r="T52" s="128"/>
      <c r="U52" s="129"/>
      <c r="V52" s="130"/>
      <c r="W52" s="136" t="str">
        <f t="shared" si="7"/>
        <v/>
      </c>
      <c r="X52" s="133" t="str">
        <f t="shared" si="8"/>
        <v/>
      </c>
      <c r="Y52" s="134" t="str">
        <f t="shared" si="9"/>
        <v/>
      </c>
      <c r="Z52" s="137" t="str">
        <f t="shared" si="10"/>
        <v/>
      </c>
      <c r="AA52" s="150" t="str">
        <f t="shared" si="11"/>
        <v/>
      </c>
      <c r="AB52" s="151" t="str">
        <f t="shared" si="12"/>
        <v/>
      </c>
      <c r="AC52" s="140" t="str">
        <f t="array" ref="AC52">IF(AB52="","",IFERROR(INDEX(HELPER!$D$8:$D$48,IF(AB52&gt;=HELPER!$B$8,1,MATCH(AB52,HELPER!$B$8:$B$48,-1)+1)),""))</f>
        <v/>
      </c>
      <c r="AD52" s="141" t="str">
        <f>IF(AC52="","",IFERROR(VLOOKUP(AC52,HELPER!$F$8:$G$48,2,FALSE),""))</f>
        <v/>
      </c>
      <c r="AE52" s="6"/>
      <c r="AF52" s="12"/>
    </row>
    <row r="53" ht="15.0" customHeight="1">
      <c r="A53" s="6"/>
      <c r="B53" s="168">
        <v>36.0</v>
      </c>
      <c r="C53" s="145" t="str">
        <f>IF('INPUT DATA'!K46="","",'INPUT DATA'!K46)</f>
        <v/>
      </c>
      <c r="D53" s="107"/>
      <c r="E53" s="108"/>
      <c r="F53" s="128"/>
      <c r="G53" s="129"/>
      <c r="H53" s="129"/>
      <c r="I53" s="129"/>
      <c r="J53" s="130"/>
      <c r="K53" s="132" t="str">
        <f t="shared" si="1"/>
        <v/>
      </c>
      <c r="L53" s="133" t="str">
        <f t="shared" si="2"/>
        <v/>
      </c>
      <c r="M53" s="149" t="str">
        <f t="shared" si="3"/>
        <v/>
      </c>
      <c r="N53" s="128"/>
      <c r="O53" s="129"/>
      <c r="P53" s="130"/>
      <c r="Q53" s="132" t="str">
        <f t="shared" si="4"/>
        <v/>
      </c>
      <c r="R53" s="133" t="str">
        <f t="shared" si="5"/>
        <v/>
      </c>
      <c r="S53" s="149" t="str">
        <f t="shared" si="6"/>
        <v/>
      </c>
      <c r="T53" s="128"/>
      <c r="U53" s="129"/>
      <c r="V53" s="130"/>
      <c r="W53" s="136" t="str">
        <f t="shared" si="7"/>
        <v/>
      </c>
      <c r="X53" s="133" t="str">
        <f t="shared" si="8"/>
        <v/>
      </c>
      <c r="Y53" s="134" t="str">
        <f t="shared" si="9"/>
        <v/>
      </c>
      <c r="Z53" s="137" t="str">
        <f t="shared" si="10"/>
        <v/>
      </c>
      <c r="AA53" s="150" t="str">
        <f t="shared" si="11"/>
        <v/>
      </c>
      <c r="AB53" s="151" t="str">
        <f t="shared" si="12"/>
        <v/>
      </c>
      <c r="AC53" s="140" t="str">
        <f t="array" ref="AC53">IF(AB53="","",IFERROR(INDEX(HELPER!$D$8:$D$48,IF(AB53&gt;=HELPER!$B$8,1,MATCH(AB53,HELPER!$B$8:$B$48,-1)+1)),""))</f>
        <v/>
      </c>
      <c r="AD53" s="141" t="str">
        <f>IF(AC53="","",IFERROR(VLOOKUP(AC53,HELPER!$F$8:$G$48,2,FALSE),""))</f>
        <v/>
      </c>
      <c r="AE53" s="6"/>
      <c r="AF53" s="12"/>
    </row>
    <row r="54" ht="15.0" customHeight="1">
      <c r="A54" s="6"/>
      <c r="B54" s="168">
        <v>37.0</v>
      </c>
      <c r="C54" s="145" t="str">
        <f>IF('INPUT DATA'!K47="","",'INPUT DATA'!K47)</f>
        <v/>
      </c>
      <c r="D54" s="107"/>
      <c r="E54" s="108"/>
      <c r="F54" s="128"/>
      <c r="G54" s="129"/>
      <c r="H54" s="129"/>
      <c r="I54" s="129"/>
      <c r="J54" s="130"/>
      <c r="K54" s="132" t="str">
        <f t="shared" si="1"/>
        <v/>
      </c>
      <c r="L54" s="133" t="str">
        <f t="shared" si="2"/>
        <v/>
      </c>
      <c r="M54" s="149" t="str">
        <f t="shared" si="3"/>
        <v/>
      </c>
      <c r="N54" s="128"/>
      <c r="O54" s="129"/>
      <c r="P54" s="130"/>
      <c r="Q54" s="132" t="str">
        <f t="shared" si="4"/>
        <v/>
      </c>
      <c r="R54" s="133" t="str">
        <f t="shared" si="5"/>
        <v/>
      </c>
      <c r="S54" s="149" t="str">
        <f t="shared" si="6"/>
        <v/>
      </c>
      <c r="T54" s="128"/>
      <c r="U54" s="129"/>
      <c r="V54" s="130"/>
      <c r="W54" s="136" t="str">
        <f t="shared" si="7"/>
        <v/>
      </c>
      <c r="X54" s="133" t="str">
        <f t="shared" si="8"/>
        <v/>
      </c>
      <c r="Y54" s="134" t="str">
        <f t="shared" si="9"/>
        <v/>
      </c>
      <c r="Z54" s="137" t="str">
        <f t="shared" si="10"/>
        <v/>
      </c>
      <c r="AA54" s="150" t="str">
        <f t="shared" si="11"/>
        <v/>
      </c>
      <c r="AB54" s="151" t="str">
        <f t="shared" si="12"/>
        <v/>
      </c>
      <c r="AC54" s="140" t="str">
        <f t="array" ref="AC54">IF(AB54="","",IFERROR(INDEX(HELPER!$D$8:$D$48,IF(AB54&gt;=HELPER!$B$8,1,MATCH(AB54,HELPER!$B$8:$B$48,-1)+1)),""))</f>
        <v/>
      </c>
      <c r="AD54" s="141" t="str">
        <f>IF(AC54="","",IFERROR(VLOOKUP(AC54,HELPER!$F$8:$G$48,2,FALSE),""))</f>
        <v/>
      </c>
      <c r="AE54" s="6"/>
      <c r="AF54" s="12"/>
    </row>
    <row r="55" ht="15.0" customHeight="1">
      <c r="A55" s="6"/>
      <c r="B55" s="168">
        <v>38.0</v>
      </c>
      <c r="C55" s="145" t="str">
        <f>IF('INPUT DATA'!K48="","",'INPUT DATA'!K48)</f>
        <v/>
      </c>
      <c r="D55" s="107"/>
      <c r="E55" s="108"/>
      <c r="F55" s="128"/>
      <c r="G55" s="129"/>
      <c r="H55" s="129"/>
      <c r="I55" s="129"/>
      <c r="J55" s="130"/>
      <c r="K55" s="132" t="str">
        <f t="shared" si="1"/>
        <v/>
      </c>
      <c r="L55" s="133" t="str">
        <f t="shared" si="2"/>
        <v/>
      </c>
      <c r="M55" s="149" t="str">
        <f t="shared" si="3"/>
        <v/>
      </c>
      <c r="N55" s="128"/>
      <c r="O55" s="129"/>
      <c r="P55" s="130"/>
      <c r="Q55" s="132" t="str">
        <f t="shared" si="4"/>
        <v/>
      </c>
      <c r="R55" s="133" t="str">
        <f t="shared" si="5"/>
        <v/>
      </c>
      <c r="S55" s="149" t="str">
        <f t="shared" si="6"/>
        <v/>
      </c>
      <c r="T55" s="128"/>
      <c r="U55" s="129"/>
      <c r="V55" s="130"/>
      <c r="W55" s="136" t="str">
        <f t="shared" si="7"/>
        <v/>
      </c>
      <c r="X55" s="133" t="str">
        <f t="shared" si="8"/>
        <v/>
      </c>
      <c r="Y55" s="134" t="str">
        <f t="shared" si="9"/>
        <v/>
      </c>
      <c r="Z55" s="137" t="str">
        <f t="shared" si="10"/>
        <v/>
      </c>
      <c r="AA55" s="150" t="str">
        <f t="shared" si="11"/>
        <v/>
      </c>
      <c r="AB55" s="151" t="str">
        <f t="shared" si="12"/>
        <v/>
      </c>
      <c r="AC55" s="140" t="str">
        <f t="array" ref="AC55">IF(AB55="","",IFERROR(INDEX(HELPER!$D$8:$D$48,IF(AB55&gt;=HELPER!$B$8,1,MATCH(AB55,HELPER!$B$8:$B$48,-1)+1)),""))</f>
        <v/>
      </c>
      <c r="AD55" s="141" t="str">
        <f>IF(AC55="","",IFERROR(VLOOKUP(AC55,HELPER!$F$8:$G$48,2,FALSE),""))</f>
        <v/>
      </c>
      <c r="AE55" s="6"/>
      <c r="AF55" s="12"/>
    </row>
    <row r="56" ht="15.0" customHeight="1">
      <c r="A56" s="6"/>
      <c r="B56" s="168">
        <v>39.0</v>
      </c>
      <c r="C56" s="145" t="str">
        <f>IF('INPUT DATA'!K49="","",'INPUT DATA'!K49)</f>
        <v/>
      </c>
      <c r="D56" s="107"/>
      <c r="E56" s="108"/>
      <c r="F56" s="128"/>
      <c r="G56" s="129"/>
      <c r="H56" s="129"/>
      <c r="I56" s="129"/>
      <c r="J56" s="130"/>
      <c r="K56" s="132" t="str">
        <f t="shared" si="1"/>
        <v/>
      </c>
      <c r="L56" s="133" t="str">
        <f t="shared" si="2"/>
        <v/>
      </c>
      <c r="M56" s="149" t="str">
        <f t="shared" si="3"/>
        <v/>
      </c>
      <c r="N56" s="128"/>
      <c r="O56" s="129"/>
      <c r="P56" s="130"/>
      <c r="Q56" s="132" t="str">
        <f t="shared" si="4"/>
        <v/>
      </c>
      <c r="R56" s="133" t="str">
        <f t="shared" si="5"/>
        <v/>
      </c>
      <c r="S56" s="149" t="str">
        <f t="shared" si="6"/>
        <v/>
      </c>
      <c r="T56" s="128"/>
      <c r="U56" s="129"/>
      <c r="V56" s="130"/>
      <c r="W56" s="136" t="str">
        <f t="shared" si="7"/>
        <v/>
      </c>
      <c r="X56" s="133" t="str">
        <f t="shared" si="8"/>
        <v/>
      </c>
      <c r="Y56" s="134" t="str">
        <f t="shared" si="9"/>
        <v/>
      </c>
      <c r="Z56" s="137" t="str">
        <f t="shared" si="10"/>
        <v/>
      </c>
      <c r="AA56" s="150" t="str">
        <f t="shared" si="11"/>
        <v/>
      </c>
      <c r="AB56" s="151" t="str">
        <f t="shared" si="12"/>
        <v/>
      </c>
      <c r="AC56" s="140" t="str">
        <f t="array" ref="AC56">IF(AB56="","",IFERROR(INDEX(HELPER!$D$8:$D$48,IF(AB56&gt;=HELPER!$B$8,1,MATCH(AB56,HELPER!$B$8:$B$48,-1)+1)),""))</f>
        <v/>
      </c>
      <c r="AD56" s="141" t="str">
        <f>IF(AC56="","",IFERROR(VLOOKUP(AC56,HELPER!$F$8:$G$48,2,FALSE),""))</f>
        <v/>
      </c>
      <c r="AE56" s="6"/>
      <c r="AF56" s="12"/>
    </row>
    <row r="57" ht="15.0" customHeight="1">
      <c r="A57" s="6"/>
      <c r="B57" s="168">
        <v>40.0</v>
      </c>
      <c r="C57" s="145" t="str">
        <f>IF('INPUT DATA'!K50="","",'INPUT DATA'!K50)</f>
        <v/>
      </c>
      <c r="D57" s="107"/>
      <c r="E57" s="108"/>
      <c r="F57" s="128"/>
      <c r="G57" s="129"/>
      <c r="H57" s="129"/>
      <c r="I57" s="129"/>
      <c r="J57" s="130"/>
      <c r="K57" s="132" t="str">
        <f t="shared" si="1"/>
        <v/>
      </c>
      <c r="L57" s="133" t="str">
        <f t="shared" si="2"/>
        <v/>
      </c>
      <c r="M57" s="149" t="str">
        <f t="shared" si="3"/>
        <v/>
      </c>
      <c r="N57" s="128"/>
      <c r="O57" s="129"/>
      <c r="P57" s="130"/>
      <c r="Q57" s="132" t="str">
        <f t="shared" si="4"/>
        <v/>
      </c>
      <c r="R57" s="133" t="str">
        <f t="shared" si="5"/>
        <v/>
      </c>
      <c r="S57" s="149" t="str">
        <f t="shared" si="6"/>
        <v/>
      </c>
      <c r="T57" s="128"/>
      <c r="U57" s="129"/>
      <c r="V57" s="130"/>
      <c r="W57" s="136" t="str">
        <f t="shared" si="7"/>
        <v/>
      </c>
      <c r="X57" s="133" t="str">
        <f t="shared" si="8"/>
        <v/>
      </c>
      <c r="Y57" s="134" t="str">
        <f t="shared" si="9"/>
        <v/>
      </c>
      <c r="Z57" s="137" t="str">
        <f t="shared" si="10"/>
        <v/>
      </c>
      <c r="AA57" s="150" t="str">
        <f t="shared" si="11"/>
        <v/>
      </c>
      <c r="AB57" s="151" t="str">
        <f t="shared" si="12"/>
        <v/>
      </c>
      <c r="AC57" s="140" t="str">
        <f t="array" ref="AC57">IF(AB57="","",IFERROR(INDEX(HELPER!$D$8:$D$48,IF(AB57&gt;=HELPER!$B$8,1,MATCH(AB57,HELPER!$B$8:$B$48,-1)+1)),""))</f>
        <v/>
      </c>
      <c r="AD57" s="141" t="str">
        <f>IF(AC57="","",IFERROR(VLOOKUP(AC57,HELPER!$F$8:$G$48,2,FALSE),""))</f>
        <v/>
      </c>
      <c r="AE57" s="6"/>
      <c r="AF57" s="12"/>
    </row>
    <row r="58" ht="15.0" customHeight="1">
      <c r="A58" s="6"/>
      <c r="B58" s="168">
        <v>41.0</v>
      </c>
      <c r="C58" s="145" t="str">
        <f>IF('INPUT DATA'!K51="","",'INPUT DATA'!K51)</f>
        <v/>
      </c>
      <c r="D58" s="107"/>
      <c r="E58" s="108"/>
      <c r="F58" s="128"/>
      <c r="G58" s="129"/>
      <c r="H58" s="129"/>
      <c r="I58" s="129"/>
      <c r="J58" s="130"/>
      <c r="K58" s="132" t="str">
        <f t="shared" si="1"/>
        <v/>
      </c>
      <c r="L58" s="133" t="str">
        <f t="shared" si="2"/>
        <v/>
      </c>
      <c r="M58" s="149" t="str">
        <f t="shared" si="3"/>
        <v/>
      </c>
      <c r="N58" s="128"/>
      <c r="O58" s="129"/>
      <c r="P58" s="130"/>
      <c r="Q58" s="132" t="str">
        <f t="shared" si="4"/>
        <v/>
      </c>
      <c r="R58" s="133" t="str">
        <f t="shared" si="5"/>
        <v/>
      </c>
      <c r="S58" s="149" t="str">
        <f t="shared" si="6"/>
        <v/>
      </c>
      <c r="T58" s="128"/>
      <c r="U58" s="129"/>
      <c r="V58" s="130"/>
      <c r="W58" s="136" t="str">
        <f t="shared" si="7"/>
        <v/>
      </c>
      <c r="X58" s="133" t="str">
        <f t="shared" si="8"/>
        <v/>
      </c>
      <c r="Y58" s="134" t="str">
        <f t="shared" si="9"/>
        <v/>
      </c>
      <c r="Z58" s="137" t="str">
        <f t="shared" si="10"/>
        <v/>
      </c>
      <c r="AA58" s="150" t="str">
        <f t="shared" si="11"/>
        <v/>
      </c>
      <c r="AB58" s="151" t="str">
        <f t="shared" si="12"/>
        <v/>
      </c>
      <c r="AC58" s="140" t="str">
        <f t="array" ref="AC58">IF(AB58="","",IFERROR(INDEX(HELPER!$D$8:$D$48,IF(AB58&gt;=HELPER!$B$8,1,MATCH(AB58,HELPER!$B$8:$B$48,-1)+1)),""))</f>
        <v/>
      </c>
      <c r="AD58" s="141" t="str">
        <f>IF(AC58="","",IFERROR(VLOOKUP(AC58,HELPER!$F$8:$G$48,2,FALSE),""))</f>
        <v/>
      </c>
      <c r="AE58" s="6"/>
      <c r="AF58" s="12"/>
    </row>
    <row r="59" ht="15.0" customHeight="1">
      <c r="A59" s="6"/>
      <c r="B59" s="168">
        <v>42.0</v>
      </c>
      <c r="C59" s="145" t="str">
        <f>IF('INPUT DATA'!K52="","",'INPUT DATA'!K52)</f>
        <v/>
      </c>
      <c r="D59" s="107"/>
      <c r="E59" s="108"/>
      <c r="F59" s="128"/>
      <c r="G59" s="129"/>
      <c r="H59" s="129"/>
      <c r="I59" s="129"/>
      <c r="J59" s="130"/>
      <c r="K59" s="132" t="str">
        <f t="shared" si="1"/>
        <v/>
      </c>
      <c r="L59" s="133" t="str">
        <f t="shared" si="2"/>
        <v/>
      </c>
      <c r="M59" s="149" t="str">
        <f t="shared" si="3"/>
        <v/>
      </c>
      <c r="N59" s="128"/>
      <c r="O59" s="129"/>
      <c r="P59" s="130"/>
      <c r="Q59" s="132" t="str">
        <f t="shared" si="4"/>
        <v/>
      </c>
      <c r="R59" s="133" t="str">
        <f t="shared" si="5"/>
        <v/>
      </c>
      <c r="S59" s="149" t="str">
        <f t="shared" si="6"/>
        <v/>
      </c>
      <c r="T59" s="128"/>
      <c r="U59" s="129"/>
      <c r="V59" s="130"/>
      <c r="W59" s="136" t="str">
        <f t="shared" si="7"/>
        <v/>
      </c>
      <c r="X59" s="133" t="str">
        <f t="shared" si="8"/>
        <v/>
      </c>
      <c r="Y59" s="134" t="str">
        <f t="shared" si="9"/>
        <v/>
      </c>
      <c r="Z59" s="137" t="str">
        <f t="shared" si="10"/>
        <v/>
      </c>
      <c r="AA59" s="150" t="str">
        <f t="shared" si="11"/>
        <v/>
      </c>
      <c r="AB59" s="151" t="str">
        <f t="shared" si="12"/>
        <v/>
      </c>
      <c r="AC59" s="140" t="str">
        <f t="array" ref="AC59">IF(AB59="","",IFERROR(INDEX(HELPER!$D$8:$D$48,IF(AB59&gt;=HELPER!$B$8,1,MATCH(AB59,HELPER!$B$8:$B$48,-1)+1)),""))</f>
        <v/>
      </c>
      <c r="AD59" s="141" t="str">
        <f>IF(AC59="","",IFERROR(VLOOKUP(AC59,HELPER!$F$8:$G$48,2,FALSE),""))</f>
        <v/>
      </c>
      <c r="AE59" s="6"/>
      <c r="AF59" s="12"/>
    </row>
    <row r="60" ht="15.0" customHeight="1">
      <c r="A60" s="6"/>
      <c r="B60" s="168">
        <v>43.0</v>
      </c>
      <c r="C60" s="145" t="str">
        <f>IF('INPUT DATA'!K53="","",'INPUT DATA'!K53)</f>
        <v/>
      </c>
      <c r="D60" s="107"/>
      <c r="E60" s="108"/>
      <c r="F60" s="128"/>
      <c r="G60" s="129"/>
      <c r="H60" s="129"/>
      <c r="I60" s="129"/>
      <c r="J60" s="130"/>
      <c r="K60" s="132" t="str">
        <f t="shared" si="1"/>
        <v/>
      </c>
      <c r="L60" s="133" t="str">
        <f t="shared" si="2"/>
        <v/>
      </c>
      <c r="M60" s="149" t="str">
        <f t="shared" si="3"/>
        <v/>
      </c>
      <c r="N60" s="128"/>
      <c r="O60" s="129"/>
      <c r="P60" s="130"/>
      <c r="Q60" s="132" t="str">
        <f t="shared" si="4"/>
        <v/>
      </c>
      <c r="R60" s="133" t="str">
        <f t="shared" si="5"/>
        <v/>
      </c>
      <c r="S60" s="149" t="str">
        <f t="shared" si="6"/>
        <v/>
      </c>
      <c r="T60" s="128"/>
      <c r="U60" s="129"/>
      <c r="V60" s="130"/>
      <c r="W60" s="136" t="str">
        <f t="shared" si="7"/>
        <v/>
      </c>
      <c r="X60" s="133" t="str">
        <f t="shared" si="8"/>
        <v/>
      </c>
      <c r="Y60" s="134" t="str">
        <f t="shared" si="9"/>
        <v/>
      </c>
      <c r="Z60" s="137" t="str">
        <f t="shared" si="10"/>
        <v/>
      </c>
      <c r="AA60" s="150" t="str">
        <f t="shared" si="11"/>
        <v/>
      </c>
      <c r="AB60" s="151" t="str">
        <f t="shared" si="12"/>
        <v/>
      </c>
      <c r="AC60" s="140" t="str">
        <f t="array" ref="AC60">IF(AB60="","",IFERROR(INDEX(HELPER!$D$8:$D$48,IF(AB60&gt;=HELPER!$B$8,1,MATCH(AB60,HELPER!$B$8:$B$48,-1)+1)),""))</f>
        <v/>
      </c>
      <c r="AD60" s="141" t="str">
        <f>IF(AC60="","",IFERROR(VLOOKUP(AC60,HELPER!$F$8:$G$48,2,FALSE),""))</f>
        <v/>
      </c>
      <c r="AE60" s="6"/>
      <c r="AF60" s="12"/>
    </row>
    <row r="61" ht="15.0" customHeight="1">
      <c r="A61" s="6"/>
      <c r="B61" s="168">
        <v>44.0</v>
      </c>
      <c r="C61" s="145" t="str">
        <f>IF('INPUT DATA'!K54="","",'INPUT DATA'!K54)</f>
        <v/>
      </c>
      <c r="D61" s="107"/>
      <c r="E61" s="108"/>
      <c r="F61" s="128"/>
      <c r="G61" s="129"/>
      <c r="H61" s="129"/>
      <c r="I61" s="129"/>
      <c r="J61" s="130"/>
      <c r="K61" s="132" t="str">
        <f t="shared" si="1"/>
        <v/>
      </c>
      <c r="L61" s="133" t="str">
        <f t="shared" si="2"/>
        <v/>
      </c>
      <c r="M61" s="149" t="str">
        <f t="shared" si="3"/>
        <v/>
      </c>
      <c r="N61" s="128"/>
      <c r="O61" s="129"/>
      <c r="P61" s="130"/>
      <c r="Q61" s="132" t="str">
        <f t="shared" si="4"/>
        <v/>
      </c>
      <c r="R61" s="133" t="str">
        <f t="shared" si="5"/>
        <v/>
      </c>
      <c r="S61" s="149" t="str">
        <f t="shared" si="6"/>
        <v/>
      </c>
      <c r="T61" s="128"/>
      <c r="U61" s="129"/>
      <c r="V61" s="130"/>
      <c r="W61" s="136" t="str">
        <f t="shared" si="7"/>
        <v/>
      </c>
      <c r="X61" s="133" t="str">
        <f t="shared" si="8"/>
        <v/>
      </c>
      <c r="Y61" s="134" t="str">
        <f t="shared" si="9"/>
        <v/>
      </c>
      <c r="Z61" s="137" t="str">
        <f t="shared" si="10"/>
        <v/>
      </c>
      <c r="AA61" s="150" t="str">
        <f t="shared" si="11"/>
        <v/>
      </c>
      <c r="AB61" s="151" t="str">
        <f t="shared" si="12"/>
        <v/>
      </c>
      <c r="AC61" s="140" t="str">
        <f t="array" ref="AC61">IF(AB61="","",IFERROR(INDEX(HELPER!$D$8:$D$48,IF(AB61&gt;=HELPER!$B$8,1,MATCH(AB61,HELPER!$B$8:$B$48,-1)+1)),""))</f>
        <v/>
      </c>
      <c r="AD61" s="141" t="str">
        <f>IF(AC61="","",IFERROR(VLOOKUP(AC61,HELPER!$F$8:$G$48,2,FALSE),""))</f>
        <v/>
      </c>
      <c r="AE61" s="6"/>
      <c r="AF61" s="12"/>
    </row>
    <row r="62" ht="15.0" customHeight="1">
      <c r="A62" s="6"/>
      <c r="B62" s="168">
        <v>45.0</v>
      </c>
      <c r="C62" s="145" t="str">
        <f>IF('INPUT DATA'!K55="","",'INPUT DATA'!K55)</f>
        <v/>
      </c>
      <c r="D62" s="107"/>
      <c r="E62" s="108"/>
      <c r="F62" s="128"/>
      <c r="G62" s="129"/>
      <c r="H62" s="129"/>
      <c r="I62" s="129"/>
      <c r="J62" s="130"/>
      <c r="K62" s="132" t="str">
        <f t="shared" si="1"/>
        <v/>
      </c>
      <c r="L62" s="133" t="str">
        <f t="shared" si="2"/>
        <v/>
      </c>
      <c r="M62" s="149" t="str">
        <f t="shared" si="3"/>
        <v/>
      </c>
      <c r="N62" s="128"/>
      <c r="O62" s="129"/>
      <c r="P62" s="130"/>
      <c r="Q62" s="132" t="str">
        <f t="shared" si="4"/>
        <v/>
      </c>
      <c r="R62" s="133" t="str">
        <f t="shared" si="5"/>
        <v/>
      </c>
      <c r="S62" s="149" t="str">
        <f t="shared" si="6"/>
        <v/>
      </c>
      <c r="T62" s="128"/>
      <c r="U62" s="129"/>
      <c r="V62" s="130"/>
      <c r="W62" s="136" t="str">
        <f t="shared" si="7"/>
        <v/>
      </c>
      <c r="X62" s="133" t="str">
        <f t="shared" si="8"/>
        <v/>
      </c>
      <c r="Y62" s="134" t="str">
        <f t="shared" si="9"/>
        <v/>
      </c>
      <c r="Z62" s="137" t="str">
        <f t="shared" si="10"/>
        <v/>
      </c>
      <c r="AA62" s="150" t="str">
        <f t="shared" si="11"/>
        <v/>
      </c>
      <c r="AB62" s="151" t="str">
        <f t="shared" si="12"/>
        <v/>
      </c>
      <c r="AC62" s="140" t="str">
        <f t="array" ref="AC62">IF(AB62="","",IFERROR(INDEX(HELPER!$D$8:$D$48,IF(AB62&gt;=HELPER!$B$8,1,MATCH(AB62,HELPER!$B$8:$B$48,-1)+1)),""))</f>
        <v/>
      </c>
      <c r="AD62" s="141" t="str">
        <f>IF(AC62="","",IFERROR(VLOOKUP(AC62,HELPER!$F$8:$G$48,2,FALSE),""))</f>
        <v/>
      </c>
      <c r="AE62" s="6"/>
      <c r="AF62" s="12"/>
    </row>
    <row r="63" ht="15.0" customHeight="1">
      <c r="A63" s="6"/>
      <c r="B63" s="168">
        <v>46.0</v>
      </c>
      <c r="C63" s="145" t="str">
        <f>IF('INPUT DATA'!K56="","",'INPUT DATA'!K56)</f>
        <v/>
      </c>
      <c r="D63" s="107"/>
      <c r="E63" s="108"/>
      <c r="F63" s="128"/>
      <c r="G63" s="129"/>
      <c r="H63" s="129"/>
      <c r="I63" s="129"/>
      <c r="J63" s="130"/>
      <c r="K63" s="132" t="str">
        <f t="shared" si="1"/>
        <v/>
      </c>
      <c r="L63" s="133" t="str">
        <f t="shared" si="2"/>
        <v/>
      </c>
      <c r="M63" s="149" t="str">
        <f t="shared" si="3"/>
        <v/>
      </c>
      <c r="N63" s="128"/>
      <c r="O63" s="129"/>
      <c r="P63" s="130"/>
      <c r="Q63" s="132" t="str">
        <f t="shared" si="4"/>
        <v/>
      </c>
      <c r="R63" s="133" t="str">
        <f t="shared" si="5"/>
        <v/>
      </c>
      <c r="S63" s="149" t="str">
        <f t="shared" si="6"/>
        <v/>
      </c>
      <c r="T63" s="128"/>
      <c r="U63" s="129"/>
      <c r="V63" s="130"/>
      <c r="W63" s="136" t="str">
        <f t="shared" si="7"/>
        <v/>
      </c>
      <c r="X63" s="133" t="str">
        <f t="shared" si="8"/>
        <v/>
      </c>
      <c r="Y63" s="134" t="str">
        <f t="shared" si="9"/>
        <v/>
      </c>
      <c r="Z63" s="137" t="str">
        <f t="shared" si="10"/>
        <v/>
      </c>
      <c r="AA63" s="150" t="str">
        <f t="shared" si="11"/>
        <v/>
      </c>
      <c r="AB63" s="151" t="str">
        <f t="shared" si="12"/>
        <v/>
      </c>
      <c r="AC63" s="140" t="str">
        <f t="array" ref="AC63">IF(AB63="","",IFERROR(INDEX(HELPER!$D$8:$D$48,IF(AB63&gt;=HELPER!$B$8,1,MATCH(AB63,HELPER!$B$8:$B$48,-1)+1)),""))</f>
        <v/>
      </c>
      <c r="AD63" s="141" t="str">
        <f>IF(AC63="","",IFERROR(VLOOKUP(AC63,HELPER!$F$8:$G$48,2,FALSE),""))</f>
        <v/>
      </c>
      <c r="AE63" s="6"/>
      <c r="AF63" s="12"/>
    </row>
    <row r="64" ht="15.0" customHeight="1">
      <c r="A64" s="6"/>
      <c r="B64" s="168">
        <v>47.0</v>
      </c>
      <c r="C64" s="145" t="str">
        <f>IF('INPUT DATA'!K57="","",'INPUT DATA'!K57)</f>
        <v/>
      </c>
      <c r="D64" s="107"/>
      <c r="E64" s="108"/>
      <c r="F64" s="128"/>
      <c r="G64" s="129"/>
      <c r="H64" s="129"/>
      <c r="I64" s="129"/>
      <c r="J64" s="130"/>
      <c r="K64" s="132" t="str">
        <f t="shared" si="1"/>
        <v/>
      </c>
      <c r="L64" s="133" t="str">
        <f t="shared" si="2"/>
        <v/>
      </c>
      <c r="M64" s="149" t="str">
        <f t="shared" si="3"/>
        <v/>
      </c>
      <c r="N64" s="128"/>
      <c r="O64" s="129"/>
      <c r="P64" s="130"/>
      <c r="Q64" s="132" t="str">
        <f t="shared" si="4"/>
        <v/>
      </c>
      <c r="R64" s="133" t="str">
        <f t="shared" si="5"/>
        <v/>
      </c>
      <c r="S64" s="149" t="str">
        <f t="shared" si="6"/>
        <v/>
      </c>
      <c r="T64" s="128"/>
      <c r="U64" s="129"/>
      <c r="V64" s="130"/>
      <c r="W64" s="136" t="str">
        <f t="shared" si="7"/>
        <v/>
      </c>
      <c r="X64" s="133" t="str">
        <f t="shared" si="8"/>
        <v/>
      </c>
      <c r="Y64" s="134" t="str">
        <f t="shared" si="9"/>
        <v/>
      </c>
      <c r="Z64" s="137" t="str">
        <f t="shared" si="10"/>
        <v/>
      </c>
      <c r="AA64" s="150" t="str">
        <f t="shared" si="11"/>
        <v/>
      </c>
      <c r="AB64" s="151" t="str">
        <f t="shared" si="12"/>
        <v/>
      </c>
      <c r="AC64" s="140" t="str">
        <f t="array" ref="AC64">IF(AB64="","",IFERROR(INDEX(HELPER!$D$8:$D$48,IF(AB64&gt;=HELPER!$B$8,1,MATCH(AB64,HELPER!$B$8:$B$48,-1)+1)),""))</f>
        <v/>
      </c>
      <c r="AD64" s="141" t="str">
        <f>IF(AC64="","",IFERROR(VLOOKUP(AC64,HELPER!$F$8:$G$48,2,FALSE),""))</f>
        <v/>
      </c>
      <c r="AE64" s="6"/>
      <c r="AF64" s="12"/>
    </row>
    <row r="65" ht="15.0" customHeight="1">
      <c r="A65" s="6"/>
      <c r="B65" s="168">
        <v>48.0</v>
      </c>
      <c r="C65" s="145" t="str">
        <f>IF('INPUT DATA'!K58="","",'INPUT DATA'!K58)</f>
        <v/>
      </c>
      <c r="D65" s="107"/>
      <c r="E65" s="108"/>
      <c r="F65" s="128"/>
      <c r="G65" s="129"/>
      <c r="H65" s="129"/>
      <c r="I65" s="129"/>
      <c r="J65" s="130"/>
      <c r="K65" s="132" t="str">
        <f t="shared" si="1"/>
        <v/>
      </c>
      <c r="L65" s="133" t="str">
        <f t="shared" si="2"/>
        <v/>
      </c>
      <c r="M65" s="149" t="str">
        <f t="shared" si="3"/>
        <v/>
      </c>
      <c r="N65" s="128"/>
      <c r="O65" s="129"/>
      <c r="P65" s="130"/>
      <c r="Q65" s="132" t="str">
        <f t="shared" si="4"/>
        <v/>
      </c>
      <c r="R65" s="133" t="str">
        <f t="shared" si="5"/>
        <v/>
      </c>
      <c r="S65" s="149" t="str">
        <f t="shared" si="6"/>
        <v/>
      </c>
      <c r="T65" s="128"/>
      <c r="U65" s="129"/>
      <c r="V65" s="130"/>
      <c r="W65" s="136" t="str">
        <f t="shared" si="7"/>
        <v/>
      </c>
      <c r="X65" s="133" t="str">
        <f t="shared" si="8"/>
        <v/>
      </c>
      <c r="Y65" s="134" t="str">
        <f t="shared" si="9"/>
        <v/>
      </c>
      <c r="Z65" s="137" t="str">
        <f t="shared" si="10"/>
        <v/>
      </c>
      <c r="AA65" s="150" t="str">
        <f t="shared" si="11"/>
        <v/>
      </c>
      <c r="AB65" s="151" t="str">
        <f t="shared" si="12"/>
        <v/>
      </c>
      <c r="AC65" s="140" t="str">
        <f t="array" ref="AC65">IF(AB65="","",IFERROR(INDEX(HELPER!$D$8:$D$48,IF(AB65&gt;=HELPER!$B$8,1,MATCH(AB65,HELPER!$B$8:$B$48,-1)+1)),""))</f>
        <v/>
      </c>
      <c r="AD65" s="141" t="str">
        <f>IF(AC65="","",IFERROR(VLOOKUP(AC65,HELPER!$F$8:$G$48,2,FALSE),""))</f>
        <v/>
      </c>
      <c r="AE65" s="6"/>
      <c r="AF65" s="12"/>
    </row>
    <row r="66" ht="15.0" customHeight="1">
      <c r="A66" s="6"/>
      <c r="B66" s="168">
        <v>49.0</v>
      </c>
      <c r="C66" s="145" t="str">
        <f>IF('INPUT DATA'!K59="","",'INPUT DATA'!K59)</f>
        <v/>
      </c>
      <c r="D66" s="107"/>
      <c r="E66" s="108"/>
      <c r="F66" s="128"/>
      <c r="G66" s="129"/>
      <c r="H66" s="129"/>
      <c r="I66" s="129"/>
      <c r="J66" s="130"/>
      <c r="K66" s="132" t="str">
        <f t="shared" si="1"/>
        <v/>
      </c>
      <c r="L66" s="133" t="str">
        <f t="shared" si="2"/>
        <v/>
      </c>
      <c r="M66" s="149" t="str">
        <f t="shared" si="3"/>
        <v/>
      </c>
      <c r="N66" s="128"/>
      <c r="O66" s="129"/>
      <c r="P66" s="130"/>
      <c r="Q66" s="132" t="str">
        <f t="shared" si="4"/>
        <v/>
      </c>
      <c r="R66" s="133" t="str">
        <f t="shared" si="5"/>
        <v/>
      </c>
      <c r="S66" s="149" t="str">
        <f t="shared" si="6"/>
        <v/>
      </c>
      <c r="T66" s="128"/>
      <c r="U66" s="129"/>
      <c r="V66" s="130"/>
      <c r="W66" s="136" t="str">
        <f t="shared" si="7"/>
        <v/>
      </c>
      <c r="X66" s="133" t="str">
        <f t="shared" si="8"/>
        <v/>
      </c>
      <c r="Y66" s="134" t="str">
        <f t="shared" si="9"/>
        <v/>
      </c>
      <c r="Z66" s="137" t="str">
        <f t="shared" si="10"/>
        <v/>
      </c>
      <c r="AA66" s="150" t="str">
        <f t="shared" si="11"/>
        <v/>
      </c>
      <c r="AB66" s="151" t="str">
        <f t="shared" si="12"/>
        <v/>
      </c>
      <c r="AC66" s="140" t="str">
        <f t="array" ref="AC66">IF(AB66="","",IFERROR(INDEX(HELPER!$D$8:$D$48,IF(AB66&gt;=HELPER!$B$8,1,MATCH(AB66,HELPER!$B$8:$B$48,-1)+1)),""))</f>
        <v/>
      </c>
      <c r="AD66" s="141" t="str">
        <f>IF(AC66="","",IFERROR(VLOOKUP(AC66,HELPER!$F$8:$G$48,2,FALSE),""))</f>
        <v/>
      </c>
      <c r="AE66" s="6"/>
      <c r="AF66" s="12"/>
    </row>
    <row r="67" ht="15.0" customHeight="1">
      <c r="A67" s="6"/>
      <c r="B67" s="168">
        <v>50.0</v>
      </c>
      <c r="C67" s="145" t="str">
        <f>IF('INPUT DATA'!K60="","",'INPUT DATA'!K60)</f>
        <v/>
      </c>
      <c r="D67" s="107"/>
      <c r="E67" s="108"/>
      <c r="F67" s="184"/>
      <c r="G67" s="185"/>
      <c r="H67" s="185"/>
      <c r="I67" s="185"/>
      <c r="J67" s="186"/>
      <c r="K67" s="132" t="str">
        <f t="shared" si="1"/>
        <v/>
      </c>
      <c r="L67" s="133" t="str">
        <f t="shared" si="2"/>
        <v/>
      </c>
      <c r="M67" s="149" t="str">
        <f t="shared" si="3"/>
        <v/>
      </c>
      <c r="N67" s="184"/>
      <c r="O67" s="185"/>
      <c r="P67" s="186"/>
      <c r="Q67" s="132" t="str">
        <f t="shared" si="4"/>
        <v/>
      </c>
      <c r="R67" s="133" t="str">
        <f t="shared" si="5"/>
        <v/>
      </c>
      <c r="S67" s="149" t="str">
        <f t="shared" si="6"/>
        <v/>
      </c>
      <c r="T67" s="184"/>
      <c r="U67" s="185"/>
      <c r="V67" s="186"/>
      <c r="W67" s="136" t="str">
        <f t="shared" si="7"/>
        <v/>
      </c>
      <c r="X67" s="133" t="str">
        <f t="shared" si="8"/>
        <v/>
      </c>
      <c r="Y67" s="134" t="str">
        <f t="shared" si="9"/>
        <v/>
      </c>
      <c r="Z67" s="137" t="str">
        <f t="shared" si="10"/>
        <v/>
      </c>
      <c r="AA67" s="150" t="str">
        <f t="shared" si="11"/>
        <v/>
      </c>
      <c r="AB67" s="151" t="str">
        <f t="shared" si="12"/>
        <v/>
      </c>
      <c r="AC67" s="187" t="str">
        <f t="array" ref="AC67">IF(AB67="","",IFERROR(INDEX(HELPER!$D$8:$D$48,IF(AB67&gt;=HELPER!$B$8,1,MATCH(AB67,HELPER!$B$8:$B$48,-1)+1)),""))</f>
        <v/>
      </c>
      <c r="AD67" s="188" t="str">
        <f>IF(AC67="","",IFERROR(VLOOKUP(AC67,HELPER!$F$8:$G$48,2,FALSE),""))</f>
        <v/>
      </c>
      <c r="AE67" s="6"/>
      <c r="AF67" s="12"/>
    </row>
    <row r="68" ht="15.75" customHeight="1">
      <c r="A68" s="6"/>
      <c r="B68" s="189" t="s">
        <v>7</v>
      </c>
      <c r="C68" s="160"/>
      <c r="D68" s="160"/>
      <c r="E68" s="160"/>
      <c r="F68" s="160"/>
      <c r="G68" s="160"/>
      <c r="H68" s="160"/>
      <c r="I68" s="160"/>
      <c r="J68" s="160"/>
      <c r="K68" s="160"/>
      <c r="L68" s="160"/>
      <c r="M68" s="160"/>
      <c r="N68" s="160"/>
      <c r="O68" s="160"/>
      <c r="P68" s="160"/>
      <c r="Q68" s="160"/>
      <c r="R68" s="160"/>
      <c r="S68" s="160"/>
      <c r="T68" s="160"/>
      <c r="U68" s="160"/>
      <c r="V68" s="160"/>
      <c r="W68" s="160"/>
      <c r="X68" s="160"/>
      <c r="Y68" s="160"/>
      <c r="Z68" s="160"/>
      <c r="AA68" s="160"/>
      <c r="AB68" s="160"/>
      <c r="AC68" s="160"/>
      <c r="AD68" s="161"/>
      <c r="AE68" s="6"/>
      <c r="AF68" s="12"/>
    </row>
    <row r="69" ht="15.0" customHeight="1">
      <c r="A69" s="6"/>
      <c r="B69" s="190">
        <v>1.0</v>
      </c>
      <c r="C69" s="191" t="str">
        <f>IF('INPUT DATA'!N11="","",'INPUT DATA'!N11)</f>
        <v/>
      </c>
      <c r="D69" s="192"/>
      <c r="E69" s="193"/>
      <c r="F69" s="109"/>
      <c r="G69" s="110"/>
      <c r="H69" s="110"/>
      <c r="I69" s="110"/>
      <c r="J69" s="111"/>
      <c r="K69" s="194" t="str">
        <f t="shared" ref="K69:K118" si="13">IF(COUNT($F69:$J69)=0,"",SUM($F69:$J69))</f>
        <v/>
      </c>
      <c r="L69" s="195" t="str">
        <f t="shared" ref="L69:L118" si="14">IF(COUNT(F69:J69)=0,"",IFERROR(K69/$K$15*$L$15,""))</f>
        <v/>
      </c>
      <c r="M69" s="196" t="str">
        <f t="shared" ref="M69:M118" si="15">IF(L69="","",L69*$M$15)</f>
        <v/>
      </c>
      <c r="N69" s="109"/>
      <c r="O69" s="110"/>
      <c r="P69" s="111"/>
      <c r="Q69" s="194" t="str">
        <f t="shared" ref="Q69:Q118" si="16">IF(COUNT(N69:P69)=0,"",SUM(N69:P69))</f>
        <v/>
      </c>
      <c r="R69" s="195" t="str">
        <f t="shared" ref="R69:R118" si="17">IF(COUNT(N69:P69)=0,"",IFERROR(Q69/$Q$15*$R$15,""))</f>
        <v/>
      </c>
      <c r="S69" s="196" t="str">
        <f t="shared" ref="S69:S118" si="18">IF(R69="","",R69*$S$15)</f>
        <v/>
      </c>
      <c r="T69" s="109"/>
      <c r="U69" s="110"/>
      <c r="V69" s="111"/>
      <c r="W69" s="197" t="str">
        <f t="shared" ref="W69:W118" si="19">IF(T69="","",IFERROR(T69/$T$15*$W$15,""))</f>
        <v/>
      </c>
      <c r="X69" s="195" t="str">
        <f t="shared" ref="X69:X118" si="20">IF(U69="","",IFERROR(U69/$U$15*$X$15,""))</f>
        <v/>
      </c>
      <c r="Y69" s="196" t="str">
        <f t="shared" ref="Y69:Y118" si="21">IF(V69="","",IFERROR(V69/$V$15*$Y$15,""))</f>
        <v/>
      </c>
      <c r="Z69" s="198" t="str">
        <f t="shared" ref="Z69:Z118" si="22">IF(COUNT(T69:V69)=0,"",SUM(W69:Y69))</f>
        <v/>
      </c>
      <c r="AA69" s="199" t="str">
        <f t="shared" ref="AA69:AA118" si="23">IF(Z69="","",Z69*$AA$15)</f>
        <v/>
      </c>
      <c r="AB69" s="200" t="str">
        <f t="shared" ref="AB69:AB118" si="24">IF(COUNT(F69:J69,N69:P69,T69:V69)=0,"",SUM(M69,S69,AA69))</f>
        <v/>
      </c>
      <c r="AC69" s="123" t="str">
        <f t="array" ref="AC69">IF(AB69="","",IFERROR(INDEX(HELPER!$D$8:$D$48,IF(AB69&gt;=HELPER!$B$8,1,MATCH(AB69,HELPER!$B$8:$B$48,-1)+1)),""))</f>
        <v/>
      </c>
      <c r="AD69" s="125" t="str">
        <f>IF(AC69="","",IFERROR(VLOOKUP(AC69,HELPER!$F$8:$G$48,2,FALSE),""))</f>
        <v/>
      </c>
      <c r="AE69" s="6"/>
      <c r="AF69" s="12"/>
    </row>
    <row r="70" ht="15.0" customHeight="1">
      <c r="A70" s="6"/>
      <c r="B70" s="201">
        <v>2.0</v>
      </c>
      <c r="C70" s="202" t="str">
        <f>IF('INPUT DATA'!N12="","",'INPUT DATA'!N12)</f>
        <v/>
      </c>
      <c r="D70" s="203"/>
      <c r="E70" s="204"/>
      <c r="F70" s="128"/>
      <c r="G70" s="129"/>
      <c r="H70" s="129"/>
      <c r="I70" s="129"/>
      <c r="J70" s="130"/>
      <c r="K70" s="132" t="str">
        <f t="shared" si="13"/>
        <v/>
      </c>
      <c r="L70" s="133" t="str">
        <f t="shared" si="14"/>
        <v/>
      </c>
      <c r="M70" s="134" t="str">
        <f t="shared" si="15"/>
        <v/>
      </c>
      <c r="N70" s="128"/>
      <c r="O70" s="129"/>
      <c r="P70" s="130"/>
      <c r="Q70" s="132" t="str">
        <f t="shared" si="16"/>
        <v/>
      </c>
      <c r="R70" s="133" t="str">
        <f t="shared" si="17"/>
        <v/>
      </c>
      <c r="S70" s="134" t="str">
        <f t="shared" si="18"/>
        <v/>
      </c>
      <c r="T70" s="128"/>
      <c r="U70" s="129"/>
      <c r="V70" s="130"/>
      <c r="W70" s="136" t="str">
        <f t="shared" si="19"/>
        <v/>
      </c>
      <c r="X70" s="133" t="str">
        <f t="shared" si="20"/>
        <v/>
      </c>
      <c r="Y70" s="134" t="str">
        <f t="shared" si="21"/>
        <v/>
      </c>
      <c r="Z70" s="137" t="str">
        <f t="shared" si="22"/>
        <v/>
      </c>
      <c r="AA70" s="138" t="str">
        <f t="shared" si="23"/>
        <v/>
      </c>
      <c r="AB70" s="139" t="str">
        <f t="shared" si="24"/>
        <v/>
      </c>
      <c r="AC70" s="140" t="str">
        <f t="array" ref="AC70">IF(AB70="","",IFERROR(INDEX(HELPER!$D$8:$D$48,IF(AB70&gt;=HELPER!$B$8,1,MATCH(AB70,HELPER!$B$8:$B$48,-1)+1)),""))</f>
        <v/>
      </c>
      <c r="AD70" s="141" t="str">
        <f>IF(AC70="","",IFERROR(VLOOKUP(AC70,HELPER!$F$8:$G$48,2,FALSE),""))</f>
        <v/>
      </c>
      <c r="AE70" s="6"/>
      <c r="AF70" s="12"/>
    </row>
    <row r="71" ht="15.0" customHeight="1">
      <c r="A71" s="6"/>
      <c r="B71" s="201">
        <v>3.0</v>
      </c>
      <c r="C71" s="202" t="str">
        <f>IF('INPUT DATA'!N13="","",'INPUT DATA'!N13)</f>
        <v/>
      </c>
      <c r="D71" s="203"/>
      <c r="E71" s="204"/>
      <c r="F71" s="128"/>
      <c r="G71" s="129"/>
      <c r="H71" s="129"/>
      <c r="I71" s="129"/>
      <c r="J71" s="130"/>
      <c r="K71" s="132" t="str">
        <f t="shared" si="13"/>
        <v/>
      </c>
      <c r="L71" s="133" t="str">
        <f t="shared" si="14"/>
        <v/>
      </c>
      <c r="M71" s="134" t="str">
        <f t="shared" si="15"/>
        <v/>
      </c>
      <c r="N71" s="128"/>
      <c r="O71" s="129"/>
      <c r="P71" s="130"/>
      <c r="Q71" s="132" t="str">
        <f t="shared" si="16"/>
        <v/>
      </c>
      <c r="R71" s="133" t="str">
        <f t="shared" si="17"/>
        <v/>
      </c>
      <c r="S71" s="134" t="str">
        <f t="shared" si="18"/>
        <v/>
      </c>
      <c r="T71" s="128"/>
      <c r="U71" s="129"/>
      <c r="V71" s="130"/>
      <c r="W71" s="136" t="str">
        <f t="shared" si="19"/>
        <v/>
      </c>
      <c r="X71" s="133" t="str">
        <f t="shared" si="20"/>
        <v/>
      </c>
      <c r="Y71" s="134" t="str">
        <f t="shared" si="21"/>
        <v/>
      </c>
      <c r="Z71" s="137" t="str">
        <f t="shared" si="22"/>
        <v/>
      </c>
      <c r="AA71" s="138" t="str">
        <f t="shared" si="23"/>
        <v/>
      </c>
      <c r="AB71" s="139" t="str">
        <f t="shared" si="24"/>
        <v/>
      </c>
      <c r="AC71" s="140" t="str">
        <f t="array" ref="AC71">IF(AB71="","",IFERROR(INDEX(HELPER!$D$8:$D$48,IF(AB71&gt;=HELPER!$B$8,1,MATCH(AB71,HELPER!$B$8:$B$48,-1)+1)),""))</f>
        <v/>
      </c>
      <c r="AD71" s="141" t="str">
        <f>IF(AC71="","",IFERROR(VLOOKUP(AC71,HELPER!$F$8:$G$48,2,FALSE),""))</f>
        <v/>
      </c>
      <c r="AE71" s="6"/>
      <c r="AF71" s="12"/>
    </row>
    <row r="72" ht="15.0" customHeight="1">
      <c r="A72" s="6"/>
      <c r="B72" s="201">
        <v>4.0</v>
      </c>
      <c r="C72" s="202" t="str">
        <f>IF('INPUT DATA'!N14="","",'INPUT DATA'!N14)</f>
        <v/>
      </c>
      <c r="D72" s="203"/>
      <c r="E72" s="204"/>
      <c r="F72" s="128"/>
      <c r="G72" s="129"/>
      <c r="H72" s="129"/>
      <c r="I72" s="129"/>
      <c r="J72" s="130"/>
      <c r="K72" s="132" t="str">
        <f t="shared" si="13"/>
        <v/>
      </c>
      <c r="L72" s="133" t="str">
        <f t="shared" si="14"/>
        <v/>
      </c>
      <c r="M72" s="134" t="str">
        <f t="shared" si="15"/>
        <v/>
      </c>
      <c r="N72" s="128"/>
      <c r="O72" s="129"/>
      <c r="P72" s="130"/>
      <c r="Q72" s="132" t="str">
        <f t="shared" si="16"/>
        <v/>
      </c>
      <c r="R72" s="133" t="str">
        <f t="shared" si="17"/>
        <v/>
      </c>
      <c r="S72" s="134" t="str">
        <f t="shared" si="18"/>
        <v/>
      </c>
      <c r="T72" s="128"/>
      <c r="U72" s="129"/>
      <c r="V72" s="130"/>
      <c r="W72" s="136" t="str">
        <f t="shared" si="19"/>
        <v/>
      </c>
      <c r="X72" s="133" t="str">
        <f t="shared" si="20"/>
        <v/>
      </c>
      <c r="Y72" s="134" t="str">
        <f t="shared" si="21"/>
        <v/>
      </c>
      <c r="Z72" s="137" t="str">
        <f t="shared" si="22"/>
        <v/>
      </c>
      <c r="AA72" s="138" t="str">
        <f t="shared" si="23"/>
        <v/>
      </c>
      <c r="AB72" s="139" t="str">
        <f t="shared" si="24"/>
        <v/>
      </c>
      <c r="AC72" s="140" t="str">
        <f t="array" ref="AC72">IF(AB72="","",IFERROR(INDEX(HELPER!$D$8:$D$48,IF(AB72&gt;=HELPER!$B$8,1,MATCH(AB72,HELPER!$B$8:$B$48,-1)+1)),""))</f>
        <v/>
      </c>
      <c r="AD72" s="141" t="str">
        <f>IF(AC72="","",IFERROR(VLOOKUP(AC72,HELPER!$F$8:$G$48,2,FALSE),""))</f>
        <v/>
      </c>
      <c r="AE72" s="6"/>
      <c r="AF72" s="12"/>
    </row>
    <row r="73" ht="15.0" customHeight="1">
      <c r="A73" s="6"/>
      <c r="B73" s="201">
        <v>5.0</v>
      </c>
      <c r="C73" s="202" t="str">
        <f>IF('INPUT DATA'!N15="","",'INPUT DATA'!N15)</f>
        <v/>
      </c>
      <c r="D73" s="203"/>
      <c r="E73" s="204"/>
      <c r="F73" s="128"/>
      <c r="G73" s="129"/>
      <c r="H73" s="129"/>
      <c r="I73" s="129"/>
      <c r="J73" s="130"/>
      <c r="K73" s="132" t="str">
        <f t="shared" si="13"/>
        <v/>
      </c>
      <c r="L73" s="133" t="str">
        <f t="shared" si="14"/>
        <v/>
      </c>
      <c r="M73" s="134" t="str">
        <f t="shared" si="15"/>
        <v/>
      </c>
      <c r="N73" s="128"/>
      <c r="O73" s="129"/>
      <c r="P73" s="130"/>
      <c r="Q73" s="132" t="str">
        <f t="shared" si="16"/>
        <v/>
      </c>
      <c r="R73" s="133" t="str">
        <f t="shared" si="17"/>
        <v/>
      </c>
      <c r="S73" s="134" t="str">
        <f t="shared" si="18"/>
        <v/>
      </c>
      <c r="T73" s="128"/>
      <c r="U73" s="129"/>
      <c r="V73" s="130"/>
      <c r="W73" s="136" t="str">
        <f t="shared" si="19"/>
        <v/>
      </c>
      <c r="X73" s="133" t="str">
        <f t="shared" si="20"/>
        <v/>
      </c>
      <c r="Y73" s="134" t="str">
        <f t="shared" si="21"/>
        <v/>
      </c>
      <c r="Z73" s="137" t="str">
        <f t="shared" si="22"/>
        <v/>
      </c>
      <c r="AA73" s="138" t="str">
        <f t="shared" si="23"/>
        <v/>
      </c>
      <c r="AB73" s="139" t="str">
        <f t="shared" si="24"/>
        <v/>
      </c>
      <c r="AC73" s="140" t="str">
        <f t="array" ref="AC73">IF(AB73="","",IFERROR(INDEX(HELPER!$D$8:$D$48,IF(AB73&gt;=HELPER!$B$8,1,MATCH(AB73,HELPER!$B$8:$B$48,-1)+1)),""))</f>
        <v/>
      </c>
      <c r="AD73" s="141" t="str">
        <f>IF(AC73="","",IFERROR(VLOOKUP(AC73,HELPER!$F$8:$G$48,2,FALSE),""))</f>
        <v/>
      </c>
      <c r="AE73" s="6"/>
      <c r="AF73" s="12"/>
    </row>
    <row r="74" ht="15.0" customHeight="1">
      <c r="A74" s="6"/>
      <c r="B74" s="201">
        <v>6.0</v>
      </c>
      <c r="C74" s="202" t="str">
        <f>IF('INPUT DATA'!N16="","",'INPUT DATA'!N16)</f>
        <v/>
      </c>
      <c r="D74" s="203"/>
      <c r="E74" s="204"/>
      <c r="F74" s="128"/>
      <c r="G74" s="129"/>
      <c r="H74" s="129"/>
      <c r="I74" s="129"/>
      <c r="J74" s="130"/>
      <c r="K74" s="132" t="str">
        <f t="shared" si="13"/>
        <v/>
      </c>
      <c r="L74" s="133" t="str">
        <f t="shared" si="14"/>
        <v/>
      </c>
      <c r="M74" s="134" t="str">
        <f t="shared" si="15"/>
        <v/>
      </c>
      <c r="N74" s="128"/>
      <c r="O74" s="129"/>
      <c r="P74" s="130"/>
      <c r="Q74" s="132" t="str">
        <f t="shared" si="16"/>
        <v/>
      </c>
      <c r="R74" s="133" t="str">
        <f t="shared" si="17"/>
        <v/>
      </c>
      <c r="S74" s="134" t="str">
        <f t="shared" si="18"/>
        <v/>
      </c>
      <c r="T74" s="128"/>
      <c r="U74" s="129"/>
      <c r="V74" s="130"/>
      <c r="W74" s="136" t="str">
        <f t="shared" si="19"/>
        <v/>
      </c>
      <c r="X74" s="133" t="str">
        <f t="shared" si="20"/>
        <v/>
      </c>
      <c r="Y74" s="134" t="str">
        <f t="shared" si="21"/>
        <v/>
      </c>
      <c r="Z74" s="137" t="str">
        <f t="shared" si="22"/>
        <v/>
      </c>
      <c r="AA74" s="138" t="str">
        <f t="shared" si="23"/>
        <v/>
      </c>
      <c r="AB74" s="139" t="str">
        <f t="shared" si="24"/>
        <v/>
      </c>
      <c r="AC74" s="140" t="str">
        <f t="array" ref="AC74">IF(AB74="","",IFERROR(INDEX(HELPER!$D$8:$D$48,IF(AB74&gt;=HELPER!$B$8,1,MATCH(AB74,HELPER!$B$8:$B$48,-1)+1)),""))</f>
        <v/>
      </c>
      <c r="AD74" s="141" t="str">
        <f>IF(AC74="","",IFERROR(VLOOKUP(AC74,HELPER!$F$8:$G$48,2,FALSE),""))</f>
        <v/>
      </c>
      <c r="AE74" s="6"/>
      <c r="AF74" s="12"/>
    </row>
    <row r="75" ht="15.0" customHeight="1">
      <c r="A75" s="6"/>
      <c r="B75" s="201">
        <v>7.0</v>
      </c>
      <c r="C75" s="202" t="str">
        <f>IF('INPUT DATA'!N17="","",'INPUT DATA'!N17)</f>
        <v/>
      </c>
      <c r="D75" s="203"/>
      <c r="E75" s="204"/>
      <c r="F75" s="128"/>
      <c r="G75" s="129"/>
      <c r="H75" s="129"/>
      <c r="I75" s="129"/>
      <c r="J75" s="130"/>
      <c r="K75" s="132" t="str">
        <f t="shared" si="13"/>
        <v/>
      </c>
      <c r="L75" s="133" t="str">
        <f t="shared" si="14"/>
        <v/>
      </c>
      <c r="M75" s="134" t="str">
        <f t="shared" si="15"/>
        <v/>
      </c>
      <c r="N75" s="128"/>
      <c r="O75" s="129"/>
      <c r="P75" s="130"/>
      <c r="Q75" s="132" t="str">
        <f t="shared" si="16"/>
        <v/>
      </c>
      <c r="R75" s="133" t="str">
        <f t="shared" si="17"/>
        <v/>
      </c>
      <c r="S75" s="134" t="str">
        <f t="shared" si="18"/>
        <v/>
      </c>
      <c r="T75" s="128"/>
      <c r="U75" s="129"/>
      <c r="V75" s="130"/>
      <c r="W75" s="136" t="str">
        <f t="shared" si="19"/>
        <v/>
      </c>
      <c r="X75" s="133" t="str">
        <f t="shared" si="20"/>
        <v/>
      </c>
      <c r="Y75" s="134" t="str">
        <f t="shared" si="21"/>
        <v/>
      </c>
      <c r="Z75" s="137" t="str">
        <f t="shared" si="22"/>
        <v/>
      </c>
      <c r="AA75" s="138" t="str">
        <f t="shared" si="23"/>
        <v/>
      </c>
      <c r="AB75" s="139" t="str">
        <f t="shared" si="24"/>
        <v/>
      </c>
      <c r="AC75" s="140" t="str">
        <f t="array" ref="AC75">IF(AB75="","",IFERROR(INDEX(HELPER!$D$8:$D$48,IF(AB75&gt;=HELPER!$B$8,1,MATCH(AB75,HELPER!$B$8:$B$48,-1)+1)),""))</f>
        <v/>
      </c>
      <c r="AD75" s="141" t="str">
        <f>IF(AC75="","",IFERROR(VLOOKUP(AC75,HELPER!$F$8:$G$48,2,FALSE),""))</f>
        <v/>
      </c>
      <c r="AE75" s="6"/>
      <c r="AF75" s="12"/>
    </row>
    <row r="76" ht="15.0" customHeight="1">
      <c r="A76" s="6"/>
      <c r="B76" s="201">
        <v>8.0</v>
      </c>
      <c r="C76" s="202" t="str">
        <f>IF('INPUT DATA'!N18="","",'INPUT DATA'!N18)</f>
        <v/>
      </c>
      <c r="D76" s="203"/>
      <c r="E76" s="204"/>
      <c r="F76" s="128"/>
      <c r="G76" s="129"/>
      <c r="H76" s="129"/>
      <c r="I76" s="129"/>
      <c r="J76" s="130"/>
      <c r="K76" s="132" t="str">
        <f t="shared" si="13"/>
        <v/>
      </c>
      <c r="L76" s="133" t="str">
        <f t="shared" si="14"/>
        <v/>
      </c>
      <c r="M76" s="134" t="str">
        <f t="shared" si="15"/>
        <v/>
      </c>
      <c r="N76" s="128"/>
      <c r="O76" s="129"/>
      <c r="P76" s="130"/>
      <c r="Q76" s="132" t="str">
        <f t="shared" si="16"/>
        <v/>
      </c>
      <c r="R76" s="133" t="str">
        <f t="shared" si="17"/>
        <v/>
      </c>
      <c r="S76" s="134" t="str">
        <f t="shared" si="18"/>
        <v/>
      </c>
      <c r="T76" s="128"/>
      <c r="U76" s="129"/>
      <c r="V76" s="130"/>
      <c r="W76" s="136" t="str">
        <f t="shared" si="19"/>
        <v/>
      </c>
      <c r="X76" s="133" t="str">
        <f t="shared" si="20"/>
        <v/>
      </c>
      <c r="Y76" s="134" t="str">
        <f t="shared" si="21"/>
        <v/>
      </c>
      <c r="Z76" s="137" t="str">
        <f t="shared" si="22"/>
        <v/>
      </c>
      <c r="AA76" s="138" t="str">
        <f t="shared" si="23"/>
        <v/>
      </c>
      <c r="AB76" s="139" t="str">
        <f t="shared" si="24"/>
        <v/>
      </c>
      <c r="AC76" s="140" t="str">
        <f t="array" ref="AC76">IF(AB76="","",IFERROR(INDEX(HELPER!$D$8:$D$48,IF(AB76&gt;=HELPER!$B$8,1,MATCH(AB76,HELPER!$B$8:$B$48,-1)+1)),""))</f>
        <v/>
      </c>
      <c r="AD76" s="141" t="str">
        <f>IF(AC76="","",IFERROR(VLOOKUP(AC76,HELPER!$F$8:$G$48,2,FALSE),""))</f>
        <v/>
      </c>
      <c r="AE76" s="6"/>
      <c r="AF76" s="12"/>
    </row>
    <row r="77" ht="15.0" customHeight="1">
      <c r="A77" s="6"/>
      <c r="B77" s="201">
        <v>9.0</v>
      </c>
      <c r="C77" s="202" t="str">
        <f>IF('INPUT DATA'!N19="","",'INPUT DATA'!N19)</f>
        <v/>
      </c>
      <c r="D77" s="203"/>
      <c r="E77" s="204"/>
      <c r="F77" s="128"/>
      <c r="G77" s="129"/>
      <c r="H77" s="129"/>
      <c r="I77" s="129"/>
      <c r="J77" s="130"/>
      <c r="K77" s="132" t="str">
        <f t="shared" si="13"/>
        <v/>
      </c>
      <c r="L77" s="133" t="str">
        <f t="shared" si="14"/>
        <v/>
      </c>
      <c r="M77" s="134" t="str">
        <f t="shared" si="15"/>
        <v/>
      </c>
      <c r="N77" s="128"/>
      <c r="O77" s="129"/>
      <c r="P77" s="130"/>
      <c r="Q77" s="132" t="str">
        <f t="shared" si="16"/>
        <v/>
      </c>
      <c r="R77" s="133" t="str">
        <f t="shared" si="17"/>
        <v/>
      </c>
      <c r="S77" s="134" t="str">
        <f t="shared" si="18"/>
        <v/>
      </c>
      <c r="T77" s="128"/>
      <c r="U77" s="129"/>
      <c r="V77" s="130"/>
      <c r="W77" s="136" t="str">
        <f t="shared" si="19"/>
        <v/>
      </c>
      <c r="X77" s="133" t="str">
        <f t="shared" si="20"/>
        <v/>
      </c>
      <c r="Y77" s="134" t="str">
        <f t="shared" si="21"/>
        <v/>
      </c>
      <c r="Z77" s="137" t="str">
        <f t="shared" si="22"/>
        <v/>
      </c>
      <c r="AA77" s="138" t="str">
        <f t="shared" si="23"/>
        <v/>
      </c>
      <c r="AB77" s="139" t="str">
        <f t="shared" si="24"/>
        <v/>
      </c>
      <c r="AC77" s="140" t="str">
        <f t="array" ref="AC77">IF(AB77="","",IFERROR(INDEX(HELPER!$D$8:$D$48,IF(AB77&gt;=HELPER!$B$8,1,MATCH(AB77,HELPER!$B$8:$B$48,-1)+1)),""))</f>
        <v/>
      </c>
      <c r="AD77" s="141" t="str">
        <f>IF(AC77="","",IFERROR(VLOOKUP(AC77,HELPER!$F$8:$G$48,2,FALSE),""))</f>
        <v/>
      </c>
      <c r="AE77" s="6"/>
      <c r="AF77" s="12"/>
    </row>
    <row r="78" ht="15.0" customHeight="1">
      <c r="A78" s="6"/>
      <c r="B78" s="201">
        <v>10.0</v>
      </c>
      <c r="C78" s="202" t="str">
        <f>IF('INPUT DATA'!N20="","",'INPUT DATA'!N20)</f>
        <v/>
      </c>
      <c r="D78" s="203"/>
      <c r="E78" s="204"/>
      <c r="F78" s="128"/>
      <c r="G78" s="129"/>
      <c r="H78" s="129"/>
      <c r="I78" s="129"/>
      <c r="J78" s="130"/>
      <c r="K78" s="132" t="str">
        <f t="shared" si="13"/>
        <v/>
      </c>
      <c r="L78" s="133" t="str">
        <f t="shared" si="14"/>
        <v/>
      </c>
      <c r="M78" s="134" t="str">
        <f t="shared" si="15"/>
        <v/>
      </c>
      <c r="N78" s="128"/>
      <c r="O78" s="129"/>
      <c r="P78" s="130"/>
      <c r="Q78" s="132" t="str">
        <f t="shared" si="16"/>
        <v/>
      </c>
      <c r="R78" s="133" t="str">
        <f t="shared" si="17"/>
        <v/>
      </c>
      <c r="S78" s="134" t="str">
        <f t="shared" si="18"/>
        <v/>
      </c>
      <c r="T78" s="128"/>
      <c r="U78" s="129"/>
      <c r="V78" s="130"/>
      <c r="W78" s="136" t="str">
        <f t="shared" si="19"/>
        <v/>
      </c>
      <c r="X78" s="133" t="str">
        <f t="shared" si="20"/>
        <v/>
      </c>
      <c r="Y78" s="134" t="str">
        <f t="shared" si="21"/>
        <v/>
      </c>
      <c r="Z78" s="137" t="str">
        <f t="shared" si="22"/>
        <v/>
      </c>
      <c r="AA78" s="138" t="str">
        <f t="shared" si="23"/>
        <v/>
      </c>
      <c r="AB78" s="139" t="str">
        <f t="shared" si="24"/>
        <v/>
      </c>
      <c r="AC78" s="140" t="str">
        <f t="array" ref="AC78">IF(AB78="","",IFERROR(INDEX(HELPER!$D$8:$D$48,IF(AB78&gt;=HELPER!$B$8,1,MATCH(AB78,HELPER!$B$8:$B$48,-1)+1)),""))</f>
        <v/>
      </c>
      <c r="AD78" s="141" t="str">
        <f>IF(AC78="","",IFERROR(VLOOKUP(AC78,HELPER!$F$8:$G$48,2,FALSE),""))</f>
        <v/>
      </c>
      <c r="AE78" s="6"/>
      <c r="AF78" s="12"/>
    </row>
    <row r="79" ht="15.0" customHeight="1">
      <c r="A79" s="6"/>
      <c r="B79" s="201">
        <v>11.0</v>
      </c>
      <c r="C79" s="202" t="str">
        <f>IF('INPUT DATA'!N21="","",'INPUT DATA'!N21)</f>
        <v/>
      </c>
      <c r="D79" s="203"/>
      <c r="E79" s="204"/>
      <c r="F79" s="128"/>
      <c r="G79" s="129"/>
      <c r="H79" s="129"/>
      <c r="I79" s="129"/>
      <c r="J79" s="130"/>
      <c r="K79" s="132" t="str">
        <f t="shared" si="13"/>
        <v/>
      </c>
      <c r="L79" s="133" t="str">
        <f t="shared" si="14"/>
        <v/>
      </c>
      <c r="M79" s="134" t="str">
        <f t="shared" si="15"/>
        <v/>
      </c>
      <c r="N79" s="128"/>
      <c r="O79" s="129"/>
      <c r="P79" s="130"/>
      <c r="Q79" s="132" t="str">
        <f t="shared" si="16"/>
        <v/>
      </c>
      <c r="R79" s="133" t="str">
        <f t="shared" si="17"/>
        <v/>
      </c>
      <c r="S79" s="134" t="str">
        <f t="shared" si="18"/>
        <v/>
      </c>
      <c r="T79" s="128"/>
      <c r="U79" s="129"/>
      <c r="V79" s="130"/>
      <c r="W79" s="136" t="str">
        <f t="shared" si="19"/>
        <v/>
      </c>
      <c r="X79" s="133" t="str">
        <f t="shared" si="20"/>
        <v/>
      </c>
      <c r="Y79" s="134" t="str">
        <f t="shared" si="21"/>
        <v/>
      </c>
      <c r="Z79" s="137" t="str">
        <f t="shared" si="22"/>
        <v/>
      </c>
      <c r="AA79" s="138" t="str">
        <f t="shared" si="23"/>
        <v/>
      </c>
      <c r="AB79" s="139" t="str">
        <f t="shared" si="24"/>
        <v/>
      </c>
      <c r="AC79" s="140" t="str">
        <f t="array" ref="AC79">IF(AB79="","",IFERROR(INDEX(HELPER!$D$8:$D$48,IF(AB79&gt;=HELPER!$B$8,1,MATCH(AB79,HELPER!$B$8:$B$48,-1)+1)),""))</f>
        <v/>
      </c>
      <c r="AD79" s="141" t="str">
        <f>IF(AC79="","",IFERROR(VLOOKUP(AC79,HELPER!$F$8:$G$48,2,FALSE),""))</f>
        <v/>
      </c>
      <c r="AE79" s="6"/>
      <c r="AF79" s="12"/>
    </row>
    <row r="80" ht="15.0" customHeight="1">
      <c r="A80" s="6"/>
      <c r="B80" s="201">
        <v>12.0</v>
      </c>
      <c r="C80" s="202" t="str">
        <f>IF('INPUT DATA'!N22="","",'INPUT DATA'!N22)</f>
        <v/>
      </c>
      <c r="D80" s="203"/>
      <c r="E80" s="204"/>
      <c r="F80" s="128"/>
      <c r="G80" s="129"/>
      <c r="H80" s="129"/>
      <c r="I80" s="129"/>
      <c r="J80" s="130"/>
      <c r="K80" s="132" t="str">
        <f t="shared" si="13"/>
        <v/>
      </c>
      <c r="L80" s="133" t="str">
        <f t="shared" si="14"/>
        <v/>
      </c>
      <c r="M80" s="134" t="str">
        <f t="shared" si="15"/>
        <v/>
      </c>
      <c r="N80" s="128"/>
      <c r="O80" s="129"/>
      <c r="P80" s="130"/>
      <c r="Q80" s="132" t="str">
        <f t="shared" si="16"/>
        <v/>
      </c>
      <c r="R80" s="133" t="str">
        <f t="shared" si="17"/>
        <v/>
      </c>
      <c r="S80" s="134" t="str">
        <f t="shared" si="18"/>
        <v/>
      </c>
      <c r="T80" s="128"/>
      <c r="U80" s="129"/>
      <c r="V80" s="130"/>
      <c r="W80" s="136" t="str">
        <f t="shared" si="19"/>
        <v/>
      </c>
      <c r="X80" s="133" t="str">
        <f t="shared" si="20"/>
        <v/>
      </c>
      <c r="Y80" s="134" t="str">
        <f t="shared" si="21"/>
        <v/>
      </c>
      <c r="Z80" s="137" t="str">
        <f t="shared" si="22"/>
        <v/>
      </c>
      <c r="AA80" s="138" t="str">
        <f t="shared" si="23"/>
        <v/>
      </c>
      <c r="AB80" s="139" t="str">
        <f t="shared" si="24"/>
        <v/>
      </c>
      <c r="AC80" s="140" t="str">
        <f t="array" ref="AC80">IF(AB80="","",IFERROR(INDEX(HELPER!$D$8:$D$48,IF(AB80&gt;=HELPER!$B$8,1,MATCH(AB80,HELPER!$B$8:$B$48,-1)+1)),""))</f>
        <v/>
      </c>
      <c r="AD80" s="141" t="str">
        <f>IF(AC80="","",IFERROR(VLOOKUP(AC80,HELPER!$F$8:$G$48,2,FALSE),""))</f>
        <v/>
      </c>
      <c r="AE80" s="6"/>
      <c r="AF80" s="12"/>
    </row>
    <row r="81" ht="15.0" customHeight="1">
      <c r="A81" s="6"/>
      <c r="B81" s="201">
        <v>13.0</v>
      </c>
      <c r="C81" s="202" t="str">
        <f>IF('INPUT DATA'!N23="","",'INPUT DATA'!N23)</f>
        <v/>
      </c>
      <c r="D81" s="203"/>
      <c r="E81" s="204"/>
      <c r="F81" s="128"/>
      <c r="G81" s="129"/>
      <c r="H81" s="129"/>
      <c r="I81" s="129"/>
      <c r="J81" s="130"/>
      <c r="K81" s="132" t="str">
        <f t="shared" si="13"/>
        <v/>
      </c>
      <c r="L81" s="133" t="str">
        <f t="shared" si="14"/>
        <v/>
      </c>
      <c r="M81" s="134" t="str">
        <f t="shared" si="15"/>
        <v/>
      </c>
      <c r="N81" s="128"/>
      <c r="O81" s="129"/>
      <c r="P81" s="130"/>
      <c r="Q81" s="132" t="str">
        <f t="shared" si="16"/>
        <v/>
      </c>
      <c r="R81" s="133" t="str">
        <f t="shared" si="17"/>
        <v/>
      </c>
      <c r="S81" s="134" t="str">
        <f t="shared" si="18"/>
        <v/>
      </c>
      <c r="T81" s="128"/>
      <c r="U81" s="129"/>
      <c r="V81" s="130"/>
      <c r="W81" s="136" t="str">
        <f t="shared" si="19"/>
        <v/>
      </c>
      <c r="X81" s="133" t="str">
        <f t="shared" si="20"/>
        <v/>
      </c>
      <c r="Y81" s="134" t="str">
        <f t="shared" si="21"/>
        <v/>
      </c>
      <c r="Z81" s="137" t="str">
        <f t="shared" si="22"/>
        <v/>
      </c>
      <c r="AA81" s="138" t="str">
        <f t="shared" si="23"/>
        <v/>
      </c>
      <c r="AB81" s="139" t="str">
        <f t="shared" si="24"/>
        <v/>
      </c>
      <c r="AC81" s="140" t="str">
        <f t="array" ref="AC81">IF(AB81="","",IFERROR(INDEX(HELPER!$D$8:$D$48,IF(AB81&gt;=HELPER!$B$8,1,MATCH(AB81,HELPER!$B$8:$B$48,-1)+1)),""))</f>
        <v/>
      </c>
      <c r="AD81" s="141" t="str">
        <f>IF(AC81="","",IFERROR(VLOOKUP(AC81,HELPER!$F$8:$G$48,2,FALSE),""))</f>
        <v/>
      </c>
      <c r="AE81" s="6"/>
      <c r="AF81" s="12"/>
    </row>
    <row r="82" ht="15.0" customHeight="1">
      <c r="A82" s="6"/>
      <c r="B82" s="201">
        <v>14.0</v>
      </c>
      <c r="C82" s="202" t="str">
        <f>IF('INPUT DATA'!N24="","",'INPUT DATA'!N24)</f>
        <v/>
      </c>
      <c r="D82" s="203"/>
      <c r="E82" s="204"/>
      <c r="F82" s="128"/>
      <c r="G82" s="129"/>
      <c r="H82" s="129"/>
      <c r="I82" s="129"/>
      <c r="J82" s="130"/>
      <c r="K82" s="132" t="str">
        <f t="shared" si="13"/>
        <v/>
      </c>
      <c r="L82" s="133" t="str">
        <f t="shared" si="14"/>
        <v/>
      </c>
      <c r="M82" s="134" t="str">
        <f t="shared" si="15"/>
        <v/>
      </c>
      <c r="N82" s="128"/>
      <c r="O82" s="129"/>
      <c r="P82" s="130"/>
      <c r="Q82" s="132" t="str">
        <f t="shared" si="16"/>
        <v/>
      </c>
      <c r="R82" s="133" t="str">
        <f t="shared" si="17"/>
        <v/>
      </c>
      <c r="S82" s="134" t="str">
        <f t="shared" si="18"/>
        <v/>
      </c>
      <c r="T82" s="128"/>
      <c r="U82" s="129"/>
      <c r="V82" s="130"/>
      <c r="W82" s="136" t="str">
        <f t="shared" si="19"/>
        <v/>
      </c>
      <c r="X82" s="133" t="str">
        <f t="shared" si="20"/>
        <v/>
      </c>
      <c r="Y82" s="134" t="str">
        <f t="shared" si="21"/>
        <v/>
      </c>
      <c r="Z82" s="137" t="str">
        <f t="shared" si="22"/>
        <v/>
      </c>
      <c r="AA82" s="138" t="str">
        <f t="shared" si="23"/>
        <v/>
      </c>
      <c r="AB82" s="139" t="str">
        <f t="shared" si="24"/>
        <v/>
      </c>
      <c r="AC82" s="140" t="str">
        <f t="array" ref="AC82">IF(AB82="","",IFERROR(INDEX(HELPER!$D$8:$D$48,IF(AB82&gt;=HELPER!$B$8,1,MATCH(AB82,HELPER!$B$8:$B$48,-1)+1)),""))</f>
        <v/>
      </c>
      <c r="AD82" s="141" t="str">
        <f>IF(AC82="","",IFERROR(VLOOKUP(AC82,HELPER!$F$8:$G$48,2,FALSE),""))</f>
        <v/>
      </c>
      <c r="AE82" s="6"/>
      <c r="AF82" s="12"/>
    </row>
    <row r="83" ht="15.0" customHeight="1">
      <c r="A83" s="6"/>
      <c r="B83" s="201">
        <v>15.0</v>
      </c>
      <c r="C83" s="202" t="str">
        <f>IF('INPUT DATA'!N25="","",'INPUT DATA'!N25)</f>
        <v/>
      </c>
      <c r="D83" s="203"/>
      <c r="E83" s="204"/>
      <c r="F83" s="128"/>
      <c r="G83" s="129"/>
      <c r="H83" s="129"/>
      <c r="I83" s="129"/>
      <c r="J83" s="130"/>
      <c r="K83" s="132" t="str">
        <f t="shared" si="13"/>
        <v/>
      </c>
      <c r="L83" s="133" t="str">
        <f t="shared" si="14"/>
        <v/>
      </c>
      <c r="M83" s="134" t="str">
        <f t="shared" si="15"/>
        <v/>
      </c>
      <c r="N83" s="128"/>
      <c r="O83" s="129"/>
      <c r="P83" s="130"/>
      <c r="Q83" s="132" t="str">
        <f t="shared" si="16"/>
        <v/>
      </c>
      <c r="R83" s="133" t="str">
        <f t="shared" si="17"/>
        <v/>
      </c>
      <c r="S83" s="134" t="str">
        <f t="shared" si="18"/>
        <v/>
      </c>
      <c r="T83" s="128"/>
      <c r="U83" s="129"/>
      <c r="V83" s="130"/>
      <c r="W83" s="136" t="str">
        <f t="shared" si="19"/>
        <v/>
      </c>
      <c r="X83" s="133" t="str">
        <f t="shared" si="20"/>
        <v/>
      </c>
      <c r="Y83" s="134" t="str">
        <f t="shared" si="21"/>
        <v/>
      </c>
      <c r="Z83" s="137" t="str">
        <f t="shared" si="22"/>
        <v/>
      </c>
      <c r="AA83" s="138" t="str">
        <f t="shared" si="23"/>
        <v/>
      </c>
      <c r="AB83" s="139" t="str">
        <f t="shared" si="24"/>
        <v/>
      </c>
      <c r="AC83" s="140" t="str">
        <f t="array" ref="AC83">IF(AB83="","",IFERROR(INDEX(HELPER!$D$8:$D$48,IF(AB83&gt;=HELPER!$B$8,1,MATCH(AB83,HELPER!$B$8:$B$48,-1)+1)),""))</f>
        <v/>
      </c>
      <c r="AD83" s="141" t="str">
        <f>IF(AC83="","",IFERROR(VLOOKUP(AC83,HELPER!$F$8:$G$48,2,FALSE),""))</f>
        <v/>
      </c>
      <c r="AE83" s="6"/>
      <c r="AF83" s="12"/>
    </row>
    <row r="84" ht="15.0" customHeight="1">
      <c r="A84" s="6"/>
      <c r="B84" s="201">
        <v>16.0</v>
      </c>
      <c r="C84" s="202" t="str">
        <f>IF('INPUT DATA'!N26="","",'INPUT DATA'!N26)</f>
        <v/>
      </c>
      <c r="D84" s="203"/>
      <c r="E84" s="204"/>
      <c r="F84" s="128"/>
      <c r="G84" s="129"/>
      <c r="H84" s="129"/>
      <c r="I84" s="129"/>
      <c r="J84" s="130"/>
      <c r="K84" s="132" t="str">
        <f t="shared" si="13"/>
        <v/>
      </c>
      <c r="L84" s="133" t="str">
        <f t="shared" si="14"/>
        <v/>
      </c>
      <c r="M84" s="134" t="str">
        <f t="shared" si="15"/>
        <v/>
      </c>
      <c r="N84" s="128"/>
      <c r="O84" s="129"/>
      <c r="P84" s="130"/>
      <c r="Q84" s="132" t="str">
        <f t="shared" si="16"/>
        <v/>
      </c>
      <c r="R84" s="133" t="str">
        <f t="shared" si="17"/>
        <v/>
      </c>
      <c r="S84" s="134" t="str">
        <f t="shared" si="18"/>
        <v/>
      </c>
      <c r="T84" s="128"/>
      <c r="U84" s="129"/>
      <c r="V84" s="130"/>
      <c r="W84" s="136" t="str">
        <f t="shared" si="19"/>
        <v/>
      </c>
      <c r="X84" s="133" t="str">
        <f t="shared" si="20"/>
        <v/>
      </c>
      <c r="Y84" s="134" t="str">
        <f t="shared" si="21"/>
        <v/>
      </c>
      <c r="Z84" s="137" t="str">
        <f t="shared" si="22"/>
        <v/>
      </c>
      <c r="AA84" s="138" t="str">
        <f t="shared" si="23"/>
        <v/>
      </c>
      <c r="AB84" s="139" t="str">
        <f t="shared" si="24"/>
        <v/>
      </c>
      <c r="AC84" s="140" t="str">
        <f t="array" ref="AC84">IF(AB84="","",IFERROR(INDEX(HELPER!$D$8:$D$48,IF(AB84&gt;=HELPER!$B$8,1,MATCH(AB84,HELPER!$B$8:$B$48,-1)+1)),""))</f>
        <v/>
      </c>
      <c r="AD84" s="141" t="str">
        <f>IF(AC84="","",IFERROR(VLOOKUP(AC84,HELPER!$F$8:$G$48,2,FALSE),""))</f>
        <v/>
      </c>
      <c r="AE84" s="6"/>
      <c r="AF84" s="12"/>
    </row>
    <row r="85" ht="15.0" customHeight="1">
      <c r="A85" s="6"/>
      <c r="B85" s="201">
        <v>17.0</v>
      </c>
      <c r="C85" s="202" t="str">
        <f>IF('INPUT DATA'!N27="","",'INPUT DATA'!N27)</f>
        <v/>
      </c>
      <c r="D85" s="203"/>
      <c r="E85" s="204"/>
      <c r="F85" s="128"/>
      <c r="G85" s="129"/>
      <c r="H85" s="129"/>
      <c r="I85" s="129"/>
      <c r="J85" s="130"/>
      <c r="K85" s="132" t="str">
        <f t="shared" si="13"/>
        <v/>
      </c>
      <c r="L85" s="133" t="str">
        <f t="shared" si="14"/>
        <v/>
      </c>
      <c r="M85" s="134" t="str">
        <f t="shared" si="15"/>
        <v/>
      </c>
      <c r="N85" s="128"/>
      <c r="O85" s="129"/>
      <c r="P85" s="130"/>
      <c r="Q85" s="132" t="str">
        <f t="shared" si="16"/>
        <v/>
      </c>
      <c r="R85" s="133" t="str">
        <f t="shared" si="17"/>
        <v/>
      </c>
      <c r="S85" s="134" t="str">
        <f t="shared" si="18"/>
        <v/>
      </c>
      <c r="T85" s="128"/>
      <c r="U85" s="129"/>
      <c r="V85" s="130"/>
      <c r="W85" s="136" t="str">
        <f t="shared" si="19"/>
        <v/>
      </c>
      <c r="X85" s="133" t="str">
        <f t="shared" si="20"/>
        <v/>
      </c>
      <c r="Y85" s="134" t="str">
        <f t="shared" si="21"/>
        <v/>
      </c>
      <c r="Z85" s="137" t="str">
        <f t="shared" si="22"/>
        <v/>
      </c>
      <c r="AA85" s="138" t="str">
        <f t="shared" si="23"/>
        <v/>
      </c>
      <c r="AB85" s="139" t="str">
        <f t="shared" si="24"/>
        <v/>
      </c>
      <c r="AC85" s="140" t="str">
        <f t="array" ref="AC85">IF(AB85="","",IFERROR(INDEX(HELPER!$D$8:$D$48,IF(AB85&gt;=HELPER!$B$8,1,MATCH(AB85,HELPER!$B$8:$B$48,-1)+1)),""))</f>
        <v/>
      </c>
      <c r="AD85" s="141" t="str">
        <f>IF(AC85="","",IFERROR(VLOOKUP(AC85,HELPER!$F$8:$G$48,2,FALSE),""))</f>
        <v/>
      </c>
      <c r="AE85" s="6"/>
      <c r="AF85" s="12"/>
    </row>
    <row r="86" ht="15.0" customHeight="1">
      <c r="A86" s="6"/>
      <c r="B86" s="201">
        <v>18.0</v>
      </c>
      <c r="C86" s="202" t="str">
        <f>IF('INPUT DATA'!N28="","",'INPUT DATA'!N28)</f>
        <v/>
      </c>
      <c r="D86" s="203"/>
      <c r="E86" s="204"/>
      <c r="F86" s="128"/>
      <c r="G86" s="129"/>
      <c r="H86" s="129"/>
      <c r="I86" s="129"/>
      <c r="J86" s="130"/>
      <c r="K86" s="132" t="str">
        <f t="shared" si="13"/>
        <v/>
      </c>
      <c r="L86" s="133" t="str">
        <f t="shared" si="14"/>
        <v/>
      </c>
      <c r="M86" s="134" t="str">
        <f t="shared" si="15"/>
        <v/>
      </c>
      <c r="N86" s="128"/>
      <c r="O86" s="129"/>
      <c r="P86" s="130"/>
      <c r="Q86" s="132" t="str">
        <f t="shared" si="16"/>
        <v/>
      </c>
      <c r="R86" s="133" t="str">
        <f t="shared" si="17"/>
        <v/>
      </c>
      <c r="S86" s="134" t="str">
        <f t="shared" si="18"/>
        <v/>
      </c>
      <c r="T86" s="128"/>
      <c r="U86" s="129"/>
      <c r="V86" s="130"/>
      <c r="W86" s="136" t="str">
        <f t="shared" si="19"/>
        <v/>
      </c>
      <c r="X86" s="133" t="str">
        <f t="shared" si="20"/>
        <v/>
      </c>
      <c r="Y86" s="134" t="str">
        <f t="shared" si="21"/>
        <v/>
      </c>
      <c r="Z86" s="137" t="str">
        <f t="shared" si="22"/>
        <v/>
      </c>
      <c r="AA86" s="138" t="str">
        <f t="shared" si="23"/>
        <v/>
      </c>
      <c r="AB86" s="139" t="str">
        <f t="shared" si="24"/>
        <v/>
      </c>
      <c r="AC86" s="140" t="str">
        <f t="array" ref="AC86">IF(AB86="","",IFERROR(INDEX(HELPER!$D$8:$D$48,IF(AB86&gt;=HELPER!$B$8,1,MATCH(AB86,HELPER!$B$8:$B$48,-1)+1)),""))</f>
        <v/>
      </c>
      <c r="AD86" s="141" t="str">
        <f>IF(AC86="","",IFERROR(VLOOKUP(AC86,HELPER!$F$8:$G$48,2,FALSE),""))</f>
        <v/>
      </c>
      <c r="AE86" s="6"/>
      <c r="AF86" s="12"/>
    </row>
    <row r="87" ht="15.0" customHeight="1">
      <c r="A87" s="6"/>
      <c r="B87" s="201">
        <v>19.0</v>
      </c>
      <c r="C87" s="202" t="str">
        <f>IF('INPUT DATA'!N29="","",'INPUT DATA'!N29)</f>
        <v/>
      </c>
      <c r="D87" s="203"/>
      <c r="E87" s="204"/>
      <c r="F87" s="128"/>
      <c r="G87" s="129"/>
      <c r="H87" s="129"/>
      <c r="I87" s="129"/>
      <c r="J87" s="130"/>
      <c r="K87" s="132" t="str">
        <f t="shared" si="13"/>
        <v/>
      </c>
      <c r="L87" s="133" t="str">
        <f t="shared" si="14"/>
        <v/>
      </c>
      <c r="M87" s="134" t="str">
        <f t="shared" si="15"/>
        <v/>
      </c>
      <c r="N87" s="128"/>
      <c r="O87" s="129"/>
      <c r="P87" s="130"/>
      <c r="Q87" s="132" t="str">
        <f t="shared" si="16"/>
        <v/>
      </c>
      <c r="R87" s="133" t="str">
        <f t="shared" si="17"/>
        <v/>
      </c>
      <c r="S87" s="134" t="str">
        <f t="shared" si="18"/>
        <v/>
      </c>
      <c r="T87" s="128"/>
      <c r="U87" s="129"/>
      <c r="V87" s="130"/>
      <c r="W87" s="136" t="str">
        <f t="shared" si="19"/>
        <v/>
      </c>
      <c r="X87" s="133" t="str">
        <f t="shared" si="20"/>
        <v/>
      </c>
      <c r="Y87" s="134" t="str">
        <f t="shared" si="21"/>
        <v/>
      </c>
      <c r="Z87" s="137" t="str">
        <f t="shared" si="22"/>
        <v/>
      </c>
      <c r="AA87" s="138" t="str">
        <f t="shared" si="23"/>
        <v/>
      </c>
      <c r="AB87" s="139" t="str">
        <f t="shared" si="24"/>
        <v/>
      </c>
      <c r="AC87" s="140" t="str">
        <f t="array" ref="AC87">IF(AB87="","",IFERROR(INDEX(HELPER!$D$8:$D$48,IF(AB87&gt;=HELPER!$B$8,1,MATCH(AB87,HELPER!$B$8:$B$48,-1)+1)),""))</f>
        <v/>
      </c>
      <c r="AD87" s="141" t="str">
        <f>IF(AC87="","",IFERROR(VLOOKUP(AC87,HELPER!$F$8:$G$48,2,FALSE),""))</f>
        <v/>
      </c>
      <c r="AE87" s="6"/>
      <c r="AF87" s="12"/>
    </row>
    <row r="88" ht="15.0" customHeight="1">
      <c r="A88" s="6"/>
      <c r="B88" s="214">
        <v>20.0</v>
      </c>
      <c r="C88" s="202" t="str">
        <f>IF('INPUT DATA'!N30="","",'INPUT DATA'!N30)</f>
        <v/>
      </c>
      <c r="D88" s="203"/>
      <c r="E88" s="204"/>
      <c r="F88" s="128"/>
      <c r="G88" s="129"/>
      <c r="H88" s="129"/>
      <c r="I88" s="129"/>
      <c r="J88" s="130"/>
      <c r="K88" s="132" t="str">
        <f t="shared" si="13"/>
        <v/>
      </c>
      <c r="L88" s="133" t="str">
        <f t="shared" si="14"/>
        <v/>
      </c>
      <c r="M88" s="134" t="str">
        <f t="shared" si="15"/>
        <v/>
      </c>
      <c r="N88" s="128"/>
      <c r="O88" s="129"/>
      <c r="P88" s="130"/>
      <c r="Q88" s="132" t="str">
        <f t="shared" si="16"/>
        <v/>
      </c>
      <c r="R88" s="133" t="str">
        <f t="shared" si="17"/>
        <v/>
      </c>
      <c r="S88" s="134" t="str">
        <f t="shared" si="18"/>
        <v/>
      </c>
      <c r="T88" s="128"/>
      <c r="U88" s="129"/>
      <c r="V88" s="130"/>
      <c r="W88" s="136" t="str">
        <f t="shared" si="19"/>
        <v/>
      </c>
      <c r="X88" s="133" t="str">
        <f t="shared" si="20"/>
        <v/>
      </c>
      <c r="Y88" s="134" t="str">
        <f t="shared" si="21"/>
        <v/>
      </c>
      <c r="Z88" s="137" t="str">
        <f t="shared" si="22"/>
        <v/>
      </c>
      <c r="AA88" s="138" t="str">
        <f t="shared" si="23"/>
        <v/>
      </c>
      <c r="AB88" s="139" t="str">
        <f t="shared" si="24"/>
        <v/>
      </c>
      <c r="AC88" s="140" t="str">
        <f t="array" ref="AC88">IF(AB88="","",IFERROR(INDEX(HELPER!$D$8:$D$48,IF(AB88&gt;=HELPER!$B$8,1,MATCH(AB88,HELPER!$B$8:$B$48,-1)+1)),""))</f>
        <v/>
      </c>
      <c r="AD88" s="141" t="str">
        <f>IF(AC88="","",IFERROR(VLOOKUP(AC88,HELPER!$F$8:$G$48,2,FALSE),""))</f>
        <v/>
      </c>
      <c r="AE88" s="6"/>
      <c r="AF88" s="12"/>
    </row>
    <row r="89" ht="15.0" customHeight="1">
      <c r="A89" s="6"/>
      <c r="B89" s="214">
        <v>21.0</v>
      </c>
      <c r="C89" s="202" t="str">
        <f>IF('INPUT DATA'!N31="","",'INPUT DATA'!N31)</f>
        <v/>
      </c>
      <c r="D89" s="203"/>
      <c r="E89" s="204"/>
      <c r="F89" s="128"/>
      <c r="G89" s="129"/>
      <c r="H89" s="129"/>
      <c r="I89" s="129"/>
      <c r="J89" s="130"/>
      <c r="K89" s="132" t="str">
        <f t="shared" si="13"/>
        <v/>
      </c>
      <c r="L89" s="133" t="str">
        <f t="shared" si="14"/>
        <v/>
      </c>
      <c r="M89" s="134" t="str">
        <f t="shared" si="15"/>
        <v/>
      </c>
      <c r="N89" s="128"/>
      <c r="O89" s="129"/>
      <c r="P89" s="130"/>
      <c r="Q89" s="132" t="str">
        <f t="shared" si="16"/>
        <v/>
      </c>
      <c r="R89" s="133" t="str">
        <f t="shared" si="17"/>
        <v/>
      </c>
      <c r="S89" s="134" t="str">
        <f t="shared" si="18"/>
        <v/>
      </c>
      <c r="T89" s="128"/>
      <c r="U89" s="129"/>
      <c r="V89" s="130"/>
      <c r="W89" s="136" t="str">
        <f t="shared" si="19"/>
        <v/>
      </c>
      <c r="X89" s="133" t="str">
        <f t="shared" si="20"/>
        <v/>
      </c>
      <c r="Y89" s="134" t="str">
        <f t="shared" si="21"/>
        <v/>
      </c>
      <c r="Z89" s="137" t="str">
        <f t="shared" si="22"/>
        <v/>
      </c>
      <c r="AA89" s="138" t="str">
        <f t="shared" si="23"/>
        <v/>
      </c>
      <c r="AB89" s="139" t="str">
        <f t="shared" si="24"/>
        <v/>
      </c>
      <c r="AC89" s="140" t="str">
        <f t="array" ref="AC89">IF(AB89="","",IFERROR(INDEX(HELPER!$D$8:$D$48,IF(AB89&gt;=HELPER!$B$8,1,MATCH(AB89,HELPER!$B$8:$B$48,-1)+1)),""))</f>
        <v/>
      </c>
      <c r="AD89" s="141" t="str">
        <f>IF(AC89="","",IFERROR(VLOOKUP(AC89,HELPER!$F$8:$G$48,2,FALSE),""))</f>
        <v/>
      </c>
      <c r="AE89" s="6"/>
      <c r="AF89" s="12"/>
    </row>
    <row r="90" ht="15.0" customHeight="1">
      <c r="A90" s="6"/>
      <c r="B90" s="214">
        <v>22.0</v>
      </c>
      <c r="C90" s="202" t="str">
        <f>IF('INPUT DATA'!N32="","",'INPUT DATA'!N32)</f>
        <v/>
      </c>
      <c r="D90" s="203"/>
      <c r="E90" s="204"/>
      <c r="F90" s="128"/>
      <c r="G90" s="129"/>
      <c r="H90" s="129"/>
      <c r="I90" s="129"/>
      <c r="J90" s="130"/>
      <c r="K90" s="132" t="str">
        <f t="shared" si="13"/>
        <v/>
      </c>
      <c r="L90" s="133" t="str">
        <f t="shared" si="14"/>
        <v/>
      </c>
      <c r="M90" s="134" t="str">
        <f t="shared" si="15"/>
        <v/>
      </c>
      <c r="N90" s="128"/>
      <c r="O90" s="129"/>
      <c r="P90" s="130"/>
      <c r="Q90" s="132" t="str">
        <f t="shared" si="16"/>
        <v/>
      </c>
      <c r="R90" s="133" t="str">
        <f t="shared" si="17"/>
        <v/>
      </c>
      <c r="S90" s="134" t="str">
        <f t="shared" si="18"/>
        <v/>
      </c>
      <c r="T90" s="128"/>
      <c r="U90" s="129"/>
      <c r="V90" s="130"/>
      <c r="W90" s="136" t="str">
        <f t="shared" si="19"/>
        <v/>
      </c>
      <c r="X90" s="133" t="str">
        <f t="shared" si="20"/>
        <v/>
      </c>
      <c r="Y90" s="134" t="str">
        <f t="shared" si="21"/>
        <v/>
      </c>
      <c r="Z90" s="137" t="str">
        <f t="shared" si="22"/>
        <v/>
      </c>
      <c r="AA90" s="138" t="str">
        <f t="shared" si="23"/>
        <v/>
      </c>
      <c r="AB90" s="139" t="str">
        <f t="shared" si="24"/>
        <v/>
      </c>
      <c r="AC90" s="140" t="str">
        <f t="array" ref="AC90">IF(AB90="","",IFERROR(INDEX(HELPER!$D$8:$D$48,IF(AB90&gt;=HELPER!$B$8,1,MATCH(AB90,HELPER!$B$8:$B$48,-1)+1)),""))</f>
        <v/>
      </c>
      <c r="AD90" s="141" t="str">
        <f>IF(AC90="","",IFERROR(VLOOKUP(AC90,HELPER!$F$8:$G$48,2,FALSE),""))</f>
        <v/>
      </c>
      <c r="AE90" s="6"/>
      <c r="AF90" s="12"/>
    </row>
    <row r="91" ht="15.0" customHeight="1">
      <c r="A91" s="6"/>
      <c r="B91" s="214">
        <v>23.0</v>
      </c>
      <c r="C91" s="202" t="str">
        <f>IF('INPUT DATA'!N33="","",'INPUT DATA'!N33)</f>
        <v/>
      </c>
      <c r="D91" s="203"/>
      <c r="E91" s="204"/>
      <c r="F91" s="128"/>
      <c r="G91" s="129"/>
      <c r="H91" s="129"/>
      <c r="I91" s="129"/>
      <c r="J91" s="130"/>
      <c r="K91" s="132" t="str">
        <f t="shared" si="13"/>
        <v/>
      </c>
      <c r="L91" s="133" t="str">
        <f t="shared" si="14"/>
        <v/>
      </c>
      <c r="M91" s="134" t="str">
        <f t="shared" si="15"/>
        <v/>
      </c>
      <c r="N91" s="128"/>
      <c r="O91" s="129"/>
      <c r="P91" s="130"/>
      <c r="Q91" s="132" t="str">
        <f t="shared" si="16"/>
        <v/>
      </c>
      <c r="R91" s="133" t="str">
        <f t="shared" si="17"/>
        <v/>
      </c>
      <c r="S91" s="134" t="str">
        <f t="shared" si="18"/>
        <v/>
      </c>
      <c r="T91" s="128"/>
      <c r="U91" s="129"/>
      <c r="V91" s="130"/>
      <c r="W91" s="136" t="str">
        <f t="shared" si="19"/>
        <v/>
      </c>
      <c r="X91" s="133" t="str">
        <f t="shared" si="20"/>
        <v/>
      </c>
      <c r="Y91" s="134" t="str">
        <f t="shared" si="21"/>
        <v/>
      </c>
      <c r="Z91" s="137" t="str">
        <f t="shared" si="22"/>
        <v/>
      </c>
      <c r="AA91" s="138" t="str">
        <f t="shared" si="23"/>
        <v/>
      </c>
      <c r="AB91" s="139" t="str">
        <f t="shared" si="24"/>
        <v/>
      </c>
      <c r="AC91" s="140" t="str">
        <f t="array" ref="AC91">IF(AB91="","",IFERROR(INDEX(HELPER!$D$8:$D$48,IF(AB91&gt;=HELPER!$B$8,1,MATCH(AB91,HELPER!$B$8:$B$48,-1)+1)),""))</f>
        <v/>
      </c>
      <c r="AD91" s="141" t="str">
        <f>IF(AC91="","",IFERROR(VLOOKUP(AC91,HELPER!$F$8:$G$48,2,FALSE),""))</f>
        <v/>
      </c>
      <c r="AE91" s="6"/>
      <c r="AF91" s="12"/>
    </row>
    <row r="92" ht="15.0" customHeight="1">
      <c r="A92" s="6"/>
      <c r="B92" s="214">
        <v>24.0</v>
      </c>
      <c r="C92" s="202" t="str">
        <f>IF('INPUT DATA'!N34="","",'INPUT DATA'!N34)</f>
        <v/>
      </c>
      <c r="D92" s="203"/>
      <c r="E92" s="204"/>
      <c r="F92" s="128"/>
      <c r="G92" s="129"/>
      <c r="H92" s="129"/>
      <c r="I92" s="129"/>
      <c r="J92" s="130"/>
      <c r="K92" s="132" t="str">
        <f t="shared" si="13"/>
        <v/>
      </c>
      <c r="L92" s="133" t="str">
        <f t="shared" si="14"/>
        <v/>
      </c>
      <c r="M92" s="134" t="str">
        <f t="shared" si="15"/>
        <v/>
      </c>
      <c r="N92" s="128"/>
      <c r="O92" s="129"/>
      <c r="P92" s="130"/>
      <c r="Q92" s="132" t="str">
        <f t="shared" si="16"/>
        <v/>
      </c>
      <c r="R92" s="133" t="str">
        <f t="shared" si="17"/>
        <v/>
      </c>
      <c r="S92" s="134" t="str">
        <f t="shared" si="18"/>
        <v/>
      </c>
      <c r="T92" s="128"/>
      <c r="U92" s="129"/>
      <c r="V92" s="130"/>
      <c r="W92" s="136" t="str">
        <f t="shared" si="19"/>
        <v/>
      </c>
      <c r="X92" s="133" t="str">
        <f t="shared" si="20"/>
        <v/>
      </c>
      <c r="Y92" s="134" t="str">
        <f t="shared" si="21"/>
        <v/>
      </c>
      <c r="Z92" s="137" t="str">
        <f t="shared" si="22"/>
        <v/>
      </c>
      <c r="AA92" s="138" t="str">
        <f t="shared" si="23"/>
        <v/>
      </c>
      <c r="AB92" s="139" t="str">
        <f t="shared" si="24"/>
        <v/>
      </c>
      <c r="AC92" s="140" t="str">
        <f t="array" ref="AC92">IF(AB92="","",IFERROR(INDEX(HELPER!$D$8:$D$48,IF(AB92&gt;=HELPER!$B$8,1,MATCH(AB92,HELPER!$B$8:$B$48,-1)+1)),""))</f>
        <v/>
      </c>
      <c r="AD92" s="141" t="str">
        <f>IF(AC92="","",IFERROR(VLOOKUP(AC92,HELPER!$F$8:$G$48,2,FALSE),""))</f>
        <v/>
      </c>
      <c r="AE92" s="6"/>
      <c r="AF92" s="12"/>
    </row>
    <row r="93" ht="15.0" customHeight="1">
      <c r="A93" s="6"/>
      <c r="B93" s="214">
        <v>25.0</v>
      </c>
      <c r="C93" s="202" t="str">
        <f>IF('INPUT DATA'!N35="","",'INPUT DATA'!N35)</f>
        <v/>
      </c>
      <c r="D93" s="203"/>
      <c r="E93" s="204"/>
      <c r="F93" s="128"/>
      <c r="G93" s="129"/>
      <c r="H93" s="129"/>
      <c r="I93" s="129"/>
      <c r="J93" s="130"/>
      <c r="K93" s="132" t="str">
        <f t="shared" si="13"/>
        <v/>
      </c>
      <c r="L93" s="133" t="str">
        <f t="shared" si="14"/>
        <v/>
      </c>
      <c r="M93" s="134" t="str">
        <f t="shared" si="15"/>
        <v/>
      </c>
      <c r="N93" s="128"/>
      <c r="O93" s="129"/>
      <c r="P93" s="130"/>
      <c r="Q93" s="132" t="str">
        <f t="shared" si="16"/>
        <v/>
      </c>
      <c r="R93" s="133" t="str">
        <f t="shared" si="17"/>
        <v/>
      </c>
      <c r="S93" s="134" t="str">
        <f t="shared" si="18"/>
        <v/>
      </c>
      <c r="T93" s="128"/>
      <c r="U93" s="129"/>
      <c r="V93" s="130"/>
      <c r="W93" s="136" t="str">
        <f t="shared" si="19"/>
        <v/>
      </c>
      <c r="X93" s="133" t="str">
        <f t="shared" si="20"/>
        <v/>
      </c>
      <c r="Y93" s="134" t="str">
        <f t="shared" si="21"/>
        <v/>
      </c>
      <c r="Z93" s="137" t="str">
        <f t="shared" si="22"/>
        <v/>
      </c>
      <c r="AA93" s="138" t="str">
        <f t="shared" si="23"/>
        <v/>
      </c>
      <c r="AB93" s="139" t="str">
        <f t="shared" si="24"/>
        <v/>
      </c>
      <c r="AC93" s="140" t="str">
        <f t="array" ref="AC93">IF(AB93="","",IFERROR(INDEX(HELPER!$D$8:$D$48,IF(AB93&gt;=HELPER!$B$8,1,MATCH(AB93,HELPER!$B$8:$B$48,-1)+1)),""))</f>
        <v/>
      </c>
      <c r="AD93" s="141" t="str">
        <f>IF(AC93="","",IFERROR(VLOOKUP(AC93,HELPER!$F$8:$G$48,2,FALSE),""))</f>
        <v/>
      </c>
      <c r="AE93" s="6"/>
      <c r="AF93" s="12"/>
    </row>
    <row r="94" ht="15.0" customHeight="1">
      <c r="A94" s="6"/>
      <c r="B94" s="214">
        <v>26.0</v>
      </c>
      <c r="C94" s="202" t="str">
        <f>IF('INPUT DATA'!N36="","",'INPUT DATA'!N36)</f>
        <v/>
      </c>
      <c r="D94" s="203"/>
      <c r="E94" s="204"/>
      <c r="F94" s="128"/>
      <c r="G94" s="129"/>
      <c r="H94" s="129"/>
      <c r="I94" s="129"/>
      <c r="J94" s="130"/>
      <c r="K94" s="132" t="str">
        <f t="shared" si="13"/>
        <v/>
      </c>
      <c r="L94" s="133" t="str">
        <f t="shared" si="14"/>
        <v/>
      </c>
      <c r="M94" s="134" t="str">
        <f t="shared" si="15"/>
        <v/>
      </c>
      <c r="N94" s="128"/>
      <c r="O94" s="129"/>
      <c r="P94" s="130"/>
      <c r="Q94" s="132" t="str">
        <f t="shared" si="16"/>
        <v/>
      </c>
      <c r="R94" s="133" t="str">
        <f t="shared" si="17"/>
        <v/>
      </c>
      <c r="S94" s="134" t="str">
        <f t="shared" si="18"/>
        <v/>
      </c>
      <c r="T94" s="128"/>
      <c r="U94" s="129"/>
      <c r="V94" s="130"/>
      <c r="W94" s="136" t="str">
        <f t="shared" si="19"/>
        <v/>
      </c>
      <c r="X94" s="133" t="str">
        <f t="shared" si="20"/>
        <v/>
      </c>
      <c r="Y94" s="134" t="str">
        <f t="shared" si="21"/>
        <v/>
      </c>
      <c r="Z94" s="137" t="str">
        <f t="shared" si="22"/>
        <v/>
      </c>
      <c r="AA94" s="138" t="str">
        <f t="shared" si="23"/>
        <v/>
      </c>
      <c r="AB94" s="139" t="str">
        <f t="shared" si="24"/>
        <v/>
      </c>
      <c r="AC94" s="140" t="str">
        <f t="array" ref="AC94">IF(AB94="","",IFERROR(INDEX(HELPER!$D$8:$D$48,IF(AB94&gt;=HELPER!$B$8,1,MATCH(AB94,HELPER!$B$8:$B$48,-1)+1)),""))</f>
        <v/>
      </c>
      <c r="AD94" s="141" t="str">
        <f>IF(AC94="","",IFERROR(VLOOKUP(AC94,HELPER!$F$8:$G$48,2,FALSE),""))</f>
        <v/>
      </c>
      <c r="AE94" s="6"/>
      <c r="AF94" s="12"/>
    </row>
    <row r="95" ht="15.0" customHeight="1">
      <c r="A95" s="6"/>
      <c r="B95" s="214">
        <v>27.0</v>
      </c>
      <c r="C95" s="202" t="str">
        <f>IF('INPUT DATA'!N37="","",'INPUT DATA'!N37)</f>
        <v/>
      </c>
      <c r="D95" s="203"/>
      <c r="E95" s="204"/>
      <c r="F95" s="128"/>
      <c r="G95" s="129"/>
      <c r="H95" s="129"/>
      <c r="I95" s="129"/>
      <c r="J95" s="130"/>
      <c r="K95" s="132" t="str">
        <f t="shared" si="13"/>
        <v/>
      </c>
      <c r="L95" s="133" t="str">
        <f t="shared" si="14"/>
        <v/>
      </c>
      <c r="M95" s="134" t="str">
        <f t="shared" si="15"/>
        <v/>
      </c>
      <c r="N95" s="128"/>
      <c r="O95" s="129"/>
      <c r="P95" s="130"/>
      <c r="Q95" s="132" t="str">
        <f t="shared" si="16"/>
        <v/>
      </c>
      <c r="R95" s="133" t="str">
        <f t="shared" si="17"/>
        <v/>
      </c>
      <c r="S95" s="134" t="str">
        <f t="shared" si="18"/>
        <v/>
      </c>
      <c r="T95" s="128"/>
      <c r="U95" s="129"/>
      <c r="V95" s="130"/>
      <c r="W95" s="136" t="str">
        <f t="shared" si="19"/>
        <v/>
      </c>
      <c r="X95" s="133" t="str">
        <f t="shared" si="20"/>
        <v/>
      </c>
      <c r="Y95" s="134" t="str">
        <f t="shared" si="21"/>
        <v/>
      </c>
      <c r="Z95" s="137" t="str">
        <f t="shared" si="22"/>
        <v/>
      </c>
      <c r="AA95" s="138" t="str">
        <f t="shared" si="23"/>
        <v/>
      </c>
      <c r="AB95" s="139" t="str">
        <f t="shared" si="24"/>
        <v/>
      </c>
      <c r="AC95" s="140" t="str">
        <f t="array" ref="AC95">IF(AB95="","",IFERROR(INDEX(HELPER!$D$8:$D$48,IF(AB95&gt;=HELPER!$B$8,1,MATCH(AB95,HELPER!$B$8:$B$48,-1)+1)),""))</f>
        <v/>
      </c>
      <c r="AD95" s="141" t="str">
        <f>IF(AC95="","",IFERROR(VLOOKUP(AC95,HELPER!$F$8:$G$48,2,FALSE),""))</f>
        <v/>
      </c>
      <c r="AE95" s="6"/>
      <c r="AF95" s="12"/>
    </row>
    <row r="96" ht="15.0" customHeight="1">
      <c r="A96" s="6"/>
      <c r="B96" s="214">
        <v>28.0</v>
      </c>
      <c r="C96" s="202" t="str">
        <f>IF('INPUT DATA'!N38="","",'INPUT DATA'!N38)</f>
        <v/>
      </c>
      <c r="D96" s="203"/>
      <c r="E96" s="204"/>
      <c r="F96" s="128"/>
      <c r="G96" s="129"/>
      <c r="H96" s="129"/>
      <c r="I96" s="129"/>
      <c r="J96" s="130"/>
      <c r="K96" s="132" t="str">
        <f t="shared" si="13"/>
        <v/>
      </c>
      <c r="L96" s="133" t="str">
        <f t="shared" si="14"/>
        <v/>
      </c>
      <c r="M96" s="134" t="str">
        <f t="shared" si="15"/>
        <v/>
      </c>
      <c r="N96" s="128"/>
      <c r="O96" s="129"/>
      <c r="P96" s="130"/>
      <c r="Q96" s="132" t="str">
        <f t="shared" si="16"/>
        <v/>
      </c>
      <c r="R96" s="133" t="str">
        <f t="shared" si="17"/>
        <v/>
      </c>
      <c r="S96" s="134" t="str">
        <f t="shared" si="18"/>
        <v/>
      </c>
      <c r="T96" s="128"/>
      <c r="U96" s="129"/>
      <c r="V96" s="130"/>
      <c r="W96" s="136" t="str">
        <f t="shared" si="19"/>
        <v/>
      </c>
      <c r="X96" s="133" t="str">
        <f t="shared" si="20"/>
        <v/>
      </c>
      <c r="Y96" s="134" t="str">
        <f t="shared" si="21"/>
        <v/>
      </c>
      <c r="Z96" s="137" t="str">
        <f t="shared" si="22"/>
        <v/>
      </c>
      <c r="AA96" s="138" t="str">
        <f t="shared" si="23"/>
        <v/>
      </c>
      <c r="AB96" s="139" t="str">
        <f t="shared" si="24"/>
        <v/>
      </c>
      <c r="AC96" s="140" t="str">
        <f t="array" ref="AC96">IF(AB96="","",IFERROR(INDEX(HELPER!$D$8:$D$48,IF(AB96&gt;=HELPER!$B$8,1,MATCH(AB96,HELPER!$B$8:$B$48,-1)+1)),""))</f>
        <v/>
      </c>
      <c r="AD96" s="141" t="str">
        <f>IF(AC96="","",IFERROR(VLOOKUP(AC96,HELPER!$F$8:$G$48,2,FALSE),""))</f>
        <v/>
      </c>
      <c r="AE96" s="6"/>
      <c r="AF96" s="12"/>
    </row>
    <row r="97" ht="15.0" customHeight="1">
      <c r="A97" s="6"/>
      <c r="B97" s="214">
        <v>29.0</v>
      </c>
      <c r="C97" s="202" t="str">
        <f>IF('INPUT DATA'!N39="","",'INPUT DATA'!N39)</f>
        <v/>
      </c>
      <c r="D97" s="203"/>
      <c r="E97" s="204"/>
      <c r="F97" s="128"/>
      <c r="G97" s="129"/>
      <c r="H97" s="129"/>
      <c r="I97" s="129"/>
      <c r="J97" s="130"/>
      <c r="K97" s="132" t="str">
        <f t="shared" si="13"/>
        <v/>
      </c>
      <c r="L97" s="133" t="str">
        <f t="shared" si="14"/>
        <v/>
      </c>
      <c r="M97" s="134" t="str">
        <f t="shared" si="15"/>
        <v/>
      </c>
      <c r="N97" s="128"/>
      <c r="O97" s="129"/>
      <c r="P97" s="130"/>
      <c r="Q97" s="132" t="str">
        <f t="shared" si="16"/>
        <v/>
      </c>
      <c r="R97" s="133" t="str">
        <f t="shared" si="17"/>
        <v/>
      </c>
      <c r="S97" s="134" t="str">
        <f t="shared" si="18"/>
        <v/>
      </c>
      <c r="T97" s="128"/>
      <c r="U97" s="129"/>
      <c r="V97" s="130"/>
      <c r="W97" s="136" t="str">
        <f t="shared" si="19"/>
        <v/>
      </c>
      <c r="X97" s="133" t="str">
        <f t="shared" si="20"/>
        <v/>
      </c>
      <c r="Y97" s="134" t="str">
        <f t="shared" si="21"/>
        <v/>
      </c>
      <c r="Z97" s="137" t="str">
        <f t="shared" si="22"/>
        <v/>
      </c>
      <c r="AA97" s="138" t="str">
        <f t="shared" si="23"/>
        <v/>
      </c>
      <c r="AB97" s="139" t="str">
        <f t="shared" si="24"/>
        <v/>
      </c>
      <c r="AC97" s="140" t="str">
        <f t="array" ref="AC97">IF(AB97="","",IFERROR(INDEX(HELPER!$D$8:$D$48,IF(AB97&gt;=HELPER!$B$8,1,MATCH(AB97,HELPER!$B$8:$B$48,-1)+1)),""))</f>
        <v/>
      </c>
      <c r="AD97" s="141" t="str">
        <f>IF(AC97="","",IFERROR(VLOOKUP(AC97,HELPER!$F$8:$G$48,2,FALSE),""))</f>
        <v/>
      </c>
      <c r="AE97" s="6"/>
      <c r="AF97" s="12"/>
    </row>
    <row r="98" ht="15.0" customHeight="1">
      <c r="A98" s="6"/>
      <c r="B98" s="214">
        <v>30.0</v>
      </c>
      <c r="C98" s="202" t="str">
        <f>IF('INPUT DATA'!N40="","",'INPUT DATA'!N40)</f>
        <v/>
      </c>
      <c r="D98" s="203"/>
      <c r="E98" s="204"/>
      <c r="F98" s="128"/>
      <c r="G98" s="129"/>
      <c r="H98" s="129"/>
      <c r="I98" s="129"/>
      <c r="J98" s="130"/>
      <c r="K98" s="132" t="str">
        <f t="shared" si="13"/>
        <v/>
      </c>
      <c r="L98" s="133" t="str">
        <f t="shared" si="14"/>
        <v/>
      </c>
      <c r="M98" s="134" t="str">
        <f t="shared" si="15"/>
        <v/>
      </c>
      <c r="N98" s="128"/>
      <c r="O98" s="129"/>
      <c r="P98" s="130"/>
      <c r="Q98" s="132" t="str">
        <f t="shared" si="16"/>
        <v/>
      </c>
      <c r="R98" s="133" t="str">
        <f t="shared" si="17"/>
        <v/>
      </c>
      <c r="S98" s="134" t="str">
        <f t="shared" si="18"/>
        <v/>
      </c>
      <c r="T98" s="128"/>
      <c r="U98" s="129"/>
      <c r="V98" s="130"/>
      <c r="W98" s="136" t="str">
        <f t="shared" si="19"/>
        <v/>
      </c>
      <c r="X98" s="133" t="str">
        <f t="shared" si="20"/>
        <v/>
      </c>
      <c r="Y98" s="134" t="str">
        <f t="shared" si="21"/>
        <v/>
      </c>
      <c r="Z98" s="137" t="str">
        <f t="shared" si="22"/>
        <v/>
      </c>
      <c r="AA98" s="138" t="str">
        <f t="shared" si="23"/>
        <v/>
      </c>
      <c r="AB98" s="139" t="str">
        <f t="shared" si="24"/>
        <v/>
      </c>
      <c r="AC98" s="140" t="str">
        <f t="array" ref="AC98">IF(AB98="","",IFERROR(INDEX(HELPER!$D$8:$D$48,IF(AB98&gt;=HELPER!$B$8,1,MATCH(AB98,HELPER!$B$8:$B$48,-1)+1)),""))</f>
        <v/>
      </c>
      <c r="AD98" s="141" t="str">
        <f>IF(AC98="","",IFERROR(VLOOKUP(AC98,HELPER!$F$8:$G$48,2,FALSE),""))</f>
        <v/>
      </c>
      <c r="AE98" s="6"/>
      <c r="AF98" s="12"/>
    </row>
    <row r="99" ht="15.0" customHeight="1">
      <c r="A99" s="6"/>
      <c r="B99" s="214">
        <v>31.0</v>
      </c>
      <c r="C99" s="202" t="str">
        <f>IF('INPUT DATA'!N41="","",'INPUT DATA'!N41)</f>
        <v/>
      </c>
      <c r="D99" s="203"/>
      <c r="E99" s="204"/>
      <c r="F99" s="128"/>
      <c r="G99" s="129"/>
      <c r="H99" s="129"/>
      <c r="I99" s="129"/>
      <c r="J99" s="130"/>
      <c r="K99" s="132" t="str">
        <f t="shared" si="13"/>
        <v/>
      </c>
      <c r="L99" s="133" t="str">
        <f t="shared" si="14"/>
        <v/>
      </c>
      <c r="M99" s="134" t="str">
        <f t="shared" si="15"/>
        <v/>
      </c>
      <c r="N99" s="128"/>
      <c r="O99" s="129"/>
      <c r="P99" s="130"/>
      <c r="Q99" s="132" t="str">
        <f t="shared" si="16"/>
        <v/>
      </c>
      <c r="R99" s="133" t="str">
        <f t="shared" si="17"/>
        <v/>
      </c>
      <c r="S99" s="134" t="str">
        <f t="shared" si="18"/>
        <v/>
      </c>
      <c r="T99" s="128"/>
      <c r="U99" s="129"/>
      <c r="V99" s="130"/>
      <c r="W99" s="136" t="str">
        <f t="shared" si="19"/>
        <v/>
      </c>
      <c r="X99" s="133" t="str">
        <f t="shared" si="20"/>
        <v/>
      </c>
      <c r="Y99" s="134" t="str">
        <f t="shared" si="21"/>
        <v/>
      </c>
      <c r="Z99" s="137" t="str">
        <f t="shared" si="22"/>
        <v/>
      </c>
      <c r="AA99" s="138" t="str">
        <f t="shared" si="23"/>
        <v/>
      </c>
      <c r="AB99" s="139" t="str">
        <f t="shared" si="24"/>
        <v/>
      </c>
      <c r="AC99" s="140" t="str">
        <f t="array" ref="AC99">IF(AB99="","",IFERROR(INDEX(HELPER!$D$8:$D$48,IF(AB99&gt;=HELPER!$B$8,1,MATCH(AB99,HELPER!$B$8:$B$48,-1)+1)),""))</f>
        <v/>
      </c>
      <c r="AD99" s="141" t="str">
        <f>IF(AC99="","",IFERROR(VLOOKUP(AC99,HELPER!$F$8:$G$48,2,FALSE),""))</f>
        <v/>
      </c>
      <c r="AE99" s="6"/>
      <c r="AF99" s="12"/>
    </row>
    <row r="100" ht="15.0" customHeight="1">
      <c r="A100" s="6"/>
      <c r="B100" s="214">
        <v>32.0</v>
      </c>
      <c r="C100" s="202" t="str">
        <f>IF('INPUT DATA'!N42="","",'INPUT DATA'!N42)</f>
        <v/>
      </c>
      <c r="D100" s="203"/>
      <c r="E100" s="204"/>
      <c r="F100" s="128"/>
      <c r="G100" s="129"/>
      <c r="H100" s="129"/>
      <c r="I100" s="129"/>
      <c r="J100" s="130"/>
      <c r="K100" s="132" t="str">
        <f t="shared" si="13"/>
        <v/>
      </c>
      <c r="L100" s="133" t="str">
        <f t="shared" si="14"/>
        <v/>
      </c>
      <c r="M100" s="134" t="str">
        <f t="shared" si="15"/>
        <v/>
      </c>
      <c r="N100" s="128"/>
      <c r="O100" s="129"/>
      <c r="P100" s="130"/>
      <c r="Q100" s="132" t="str">
        <f t="shared" si="16"/>
        <v/>
      </c>
      <c r="R100" s="133" t="str">
        <f t="shared" si="17"/>
        <v/>
      </c>
      <c r="S100" s="134" t="str">
        <f t="shared" si="18"/>
        <v/>
      </c>
      <c r="T100" s="128"/>
      <c r="U100" s="129"/>
      <c r="V100" s="130"/>
      <c r="W100" s="136" t="str">
        <f t="shared" si="19"/>
        <v/>
      </c>
      <c r="X100" s="133" t="str">
        <f t="shared" si="20"/>
        <v/>
      </c>
      <c r="Y100" s="134" t="str">
        <f t="shared" si="21"/>
        <v/>
      </c>
      <c r="Z100" s="137" t="str">
        <f t="shared" si="22"/>
        <v/>
      </c>
      <c r="AA100" s="138" t="str">
        <f t="shared" si="23"/>
        <v/>
      </c>
      <c r="AB100" s="139" t="str">
        <f t="shared" si="24"/>
        <v/>
      </c>
      <c r="AC100" s="140" t="str">
        <f t="array" ref="AC100">IF(AB100="","",IFERROR(INDEX(HELPER!$D$8:$D$48,IF(AB100&gt;=HELPER!$B$8,1,MATCH(AB100,HELPER!$B$8:$B$48,-1)+1)),""))</f>
        <v/>
      </c>
      <c r="AD100" s="141" t="str">
        <f>IF(AC100="","",IFERROR(VLOOKUP(AC100,HELPER!$F$8:$G$48,2,FALSE),""))</f>
        <v/>
      </c>
      <c r="AE100" s="6"/>
      <c r="AF100" s="12"/>
    </row>
    <row r="101" ht="15.0" customHeight="1">
      <c r="A101" s="6"/>
      <c r="B101" s="214">
        <v>33.0</v>
      </c>
      <c r="C101" s="202" t="str">
        <f>IF('INPUT DATA'!N43="","",'INPUT DATA'!N43)</f>
        <v/>
      </c>
      <c r="D101" s="203"/>
      <c r="E101" s="204"/>
      <c r="F101" s="128"/>
      <c r="G101" s="129"/>
      <c r="H101" s="129"/>
      <c r="I101" s="129"/>
      <c r="J101" s="130"/>
      <c r="K101" s="132" t="str">
        <f t="shared" si="13"/>
        <v/>
      </c>
      <c r="L101" s="133" t="str">
        <f t="shared" si="14"/>
        <v/>
      </c>
      <c r="M101" s="134" t="str">
        <f t="shared" si="15"/>
        <v/>
      </c>
      <c r="N101" s="128"/>
      <c r="O101" s="129"/>
      <c r="P101" s="130"/>
      <c r="Q101" s="132" t="str">
        <f t="shared" si="16"/>
        <v/>
      </c>
      <c r="R101" s="133" t="str">
        <f t="shared" si="17"/>
        <v/>
      </c>
      <c r="S101" s="134" t="str">
        <f t="shared" si="18"/>
        <v/>
      </c>
      <c r="T101" s="128"/>
      <c r="U101" s="129"/>
      <c r="V101" s="130"/>
      <c r="W101" s="136" t="str">
        <f t="shared" si="19"/>
        <v/>
      </c>
      <c r="X101" s="133" t="str">
        <f t="shared" si="20"/>
        <v/>
      </c>
      <c r="Y101" s="134" t="str">
        <f t="shared" si="21"/>
        <v/>
      </c>
      <c r="Z101" s="137" t="str">
        <f t="shared" si="22"/>
        <v/>
      </c>
      <c r="AA101" s="138" t="str">
        <f t="shared" si="23"/>
        <v/>
      </c>
      <c r="AB101" s="139" t="str">
        <f t="shared" si="24"/>
        <v/>
      </c>
      <c r="AC101" s="140" t="str">
        <f t="array" ref="AC101">IF(AB101="","",IFERROR(INDEX(HELPER!$D$8:$D$48,IF(AB101&gt;=HELPER!$B$8,1,MATCH(AB101,HELPER!$B$8:$B$48,-1)+1)),""))</f>
        <v/>
      </c>
      <c r="AD101" s="141" t="str">
        <f>IF(AC101="","",IFERROR(VLOOKUP(AC101,HELPER!$F$8:$G$48,2,FALSE),""))</f>
        <v/>
      </c>
      <c r="AE101" s="6"/>
      <c r="AF101" s="12"/>
    </row>
    <row r="102" ht="15.0" customHeight="1">
      <c r="A102" s="6"/>
      <c r="B102" s="214">
        <v>34.0</v>
      </c>
      <c r="C102" s="202" t="str">
        <f>IF('INPUT DATA'!N44="","",'INPUT DATA'!N44)</f>
        <v/>
      </c>
      <c r="D102" s="203"/>
      <c r="E102" s="204"/>
      <c r="F102" s="128"/>
      <c r="G102" s="129"/>
      <c r="H102" s="129"/>
      <c r="I102" s="129"/>
      <c r="J102" s="130"/>
      <c r="K102" s="132" t="str">
        <f t="shared" si="13"/>
        <v/>
      </c>
      <c r="L102" s="133" t="str">
        <f t="shared" si="14"/>
        <v/>
      </c>
      <c r="M102" s="134" t="str">
        <f t="shared" si="15"/>
        <v/>
      </c>
      <c r="N102" s="128"/>
      <c r="O102" s="129"/>
      <c r="P102" s="130"/>
      <c r="Q102" s="132" t="str">
        <f t="shared" si="16"/>
        <v/>
      </c>
      <c r="R102" s="133" t="str">
        <f t="shared" si="17"/>
        <v/>
      </c>
      <c r="S102" s="134" t="str">
        <f t="shared" si="18"/>
        <v/>
      </c>
      <c r="T102" s="128"/>
      <c r="U102" s="129"/>
      <c r="V102" s="130"/>
      <c r="W102" s="136" t="str">
        <f t="shared" si="19"/>
        <v/>
      </c>
      <c r="X102" s="133" t="str">
        <f t="shared" si="20"/>
        <v/>
      </c>
      <c r="Y102" s="134" t="str">
        <f t="shared" si="21"/>
        <v/>
      </c>
      <c r="Z102" s="137" t="str">
        <f t="shared" si="22"/>
        <v/>
      </c>
      <c r="AA102" s="138" t="str">
        <f t="shared" si="23"/>
        <v/>
      </c>
      <c r="AB102" s="139" t="str">
        <f t="shared" si="24"/>
        <v/>
      </c>
      <c r="AC102" s="140" t="str">
        <f t="array" ref="AC102">IF(AB102="","",IFERROR(INDEX(HELPER!$D$8:$D$48,IF(AB102&gt;=HELPER!$B$8,1,MATCH(AB102,HELPER!$B$8:$B$48,-1)+1)),""))</f>
        <v/>
      </c>
      <c r="AD102" s="141" t="str">
        <f>IF(AC102="","",IFERROR(VLOOKUP(AC102,HELPER!$F$8:$G$48,2,FALSE),""))</f>
        <v/>
      </c>
      <c r="AE102" s="6"/>
      <c r="AF102" s="12"/>
    </row>
    <row r="103" ht="15.0" customHeight="1">
      <c r="A103" s="6"/>
      <c r="B103" s="214">
        <v>35.0</v>
      </c>
      <c r="C103" s="202" t="str">
        <f>IF('INPUT DATA'!N45="","",'INPUT DATA'!N45)</f>
        <v/>
      </c>
      <c r="D103" s="203"/>
      <c r="E103" s="204"/>
      <c r="F103" s="128"/>
      <c r="G103" s="129"/>
      <c r="H103" s="129"/>
      <c r="I103" s="129"/>
      <c r="J103" s="130"/>
      <c r="K103" s="132" t="str">
        <f t="shared" si="13"/>
        <v/>
      </c>
      <c r="L103" s="133" t="str">
        <f t="shared" si="14"/>
        <v/>
      </c>
      <c r="M103" s="134" t="str">
        <f t="shared" si="15"/>
        <v/>
      </c>
      <c r="N103" s="128"/>
      <c r="O103" s="129"/>
      <c r="P103" s="130"/>
      <c r="Q103" s="132" t="str">
        <f t="shared" si="16"/>
        <v/>
      </c>
      <c r="R103" s="133" t="str">
        <f t="shared" si="17"/>
        <v/>
      </c>
      <c r="S103" s="134" t="str">
        <f t="shared" si="18"/>
        <v/>
      </c>
      <c r="T103" s="128"/>
      <c r="U103" s="129"/>
      <c r="V103" s="130"/>
      <c r="W103" s="136" t="str">
        <f t="shared" si="19"/>
        <v/>
      </c>
      <c r="X103" s="133" t="str">
        <f t="shared" si="20"/>
        <v/>
      </c>
      <c r="Y103" s="134" t="str">
        <f t="shared" si="21"/>
        <v/>
      </c>
      <c r="Z103" s="137" t="str">
        <f t="shared" si="22"/>
        <v/>
      </c>
      <c r="AA103" s="138" t="str">
        <f t="shared" si="23"/>
        <v/>
      </c>
      <c r="AB103" s="139" t="str">
        <f t="shared" si="24"/>
        <v/>
      </c>
      <c r="AC103" s="140" t="str">
        <f t="array" ref="AC103">IF(AB103="","",IFERROR(INDEX(HELPER!$D$8:$D$48,IF(AB103&gt;=HELPER!$B$8,1,MATCH(AB103,HELPER!$B$8:$B$48,-1)+1)),""))</f>
        <v/>
      </c>
      <c r="AD103" s="141" t="str">
        <f>IF(AC103="","",IFERROR(VLOOKUP(AC103,HELPER!$F$8:$G$48,2,FALSE),""))</f>
        <v/>
      </c>
      <c r="AE103" s="6"/>
      <c r="AF103" s="12"/>
    </row>
    <row r="104" ht="15.0" customHeight="1">
      <c r="A104" s="6"/>
      <c r="B104" s="214">
        <v>36.0</v>
      </c>
      <c r="C104" s="202" t="str">
        <f>IF('INPUT DATA'!N46="","",'INPUT DATA'!N46)</f>
        <v/>
      </c>
      <c r="D104" s="203"/>
      <c r="E104" s="204"/>
      <c r="F104" s="128"/>
      <c r="G104" s="129"/>
      <c r="H104" s="129"/>
      <c r="I104" s="129"/>
      <c r="J104" s="130"/>
      <c r="K104" s="132" t="str">
        <f t="shared" si="13"/>
        <v/>
      </c>
      <c r="L104" s="133" t="str">
        <f t="shared" si="14"/>
        <v/>
      </c>
      <c r="M104" s="134" t="str">
        <f t="shared" si="15"/>
        <v/>
      </c>
      <c r="N104" s="128"/>
      <c r="O104" s="129"/>
      <c r="P104" s="130"/>
      <c r="Q104" s="132" t="str">
        <f t="shared" si="16"/>
        <v/>
      </c>
      <c r="R104" s="133" t="str">
        <f t="shared" si="17"/>
        <v/>
      </c>
      <c r="S104" s="134" t="str">
        <f t="shared" si="18"/>
        <v/>
      </c>
      <c r="T104" s="128"/>
      <c r="U104" s="129"/>
      <c r="V104" s="130"/>
      <c r="W104" s="136" t="str">
        <f t="shared" si="19"/>
        <v/>
      </c>
      <c r="X104" s="133" t="str">
        <f t="shared" si="20"/>
        <v/>
      </c>
      <c r="Y104" s="134" t="str">
        <f t="shared" si="21"/>
        <v/>
      </c>
      <c r="Z104" s="137" t="str">
        <f t="shared" si="22"/>
        <v/>
      </c>
      <c r="AA104" s="138" t="str">
        <f t="shared" si="23"/>
        <v/>
      </c>
      <c r="AB104" s="139" t="str">
        <f t="shared" si="24"/>
        <v/>
      </c>
      <c r="AC104" s="140" t="str">
        <f t="array" ref="AC104">IF(AB104="","",IFERROR(INDEX(HELPER!$D$8:$D$48,IF(AB104&gt;=HELPER!$B$8,1,MATCH(AB104,HELPER!$B$8:$B$48,-1)+1)),""))</f>
        <v/>
      </c>
      <c r="AD104" s="141" t="str">
        <f>IF(AC104="","",IFERROR(VLOOKUP(AC104,HELPER!$F$8:$G$48,2,FALSE),""))</f>
        <v/>
      </c>
      <c r="AE104" s="6"/>
      <c r="AF104" s="12"/>
    </row>
    <row r="105" ht="15.0" customHeight="1">
      <c r="A105" s="6"/>
      <c r="B105" s="214">
        <v>37.0</v>
      </c>
      <c r="C105" s="202" t="str">
        <f>IF('INPUT DATA'!N47="","",'INPUT DATA'!N47)</f>
        <v/>
      </c>
      <c r="D105" s="203"/>
      <c r="E105" s="204"/>
      <c r="F105" s="128"/>
      <c r="G105" s="129"/>
      <c r="H105" s="129"/>
      <c r="I105" s="129"/>
      <c r="J105" s="130"/>
      <c r="K105" s="132" t="str">
        <f t="shared" si="13"/>
        <v/>
      </c>
      <c r="L105" s="133" t="str">
        <f t="shared" si="14"/>
        <v/>
      </c>
      <c r="M105" s="134" t="str">
        <f t="shared" si="15"/>
        <v/>
      </c>
      <c r="N105" s="128"/>
      <c r="O105" s="129"/>
      <c r="P105" s="130"/>
      <c r="Q105" s="132" t="str">
        <f t="shared" si="16"/>
        <v/>
      </c>
      <c r="R105" s="133" t="str">
        <f t="shared" si="17"/>
        <v/>
      </c>
      <c r="S105" s="134" t="str">
        <f t="shared" si="18"/>
        <v/>
      </c>
      <c r="T105" s="128"/>
      <c r="U105" s="129"/>
      <c r="V105" s="130"/>
      <c r="W105" s="136" t="str">
        <f t="shared" si="19"/>
        <v/>
      </c>
      <c r="X105" s="133" t="str">
        <f t="shared" si="20"/>
        <v/>
      </c>
      <c r="Y105" s="134" t="str">
        <f t="shared" si="21"/>
        <v/>
      </c>
      <c r="Z105" s="137" t="str">
        <f t="shared" si="22"/>
        <v/>
      </c>
      <c r="AA105" s="138" t="str">
        <f t="shared" si="23"/>
        <v/>
      </c>
      <c r="AB105" s="139" t="str">
        <f t="shared" si="24"/>
        <v/>
      </c>
      <c r="AC105" s="140" t="str">
        <f t="array" ref="AC105">IF(AB105="","",IFERROR(INDEX(HELPER!$D$8:$D$48,IF(AB105&gt;=HELPER!$B$8,1,MATCH(AB105,HELPER!$B$8:$B$48,-1)+1)),""))</f>
        <v/>
      </c>
      <c r="AD105" s="141" t="str">
        <f>IF(AC105="","",IFERROR(VLOOKUP(AC105,HELPER!$F$8:$G$48,2,FALSE),""))</f>
        <v/>
      </c>
      <c r="AE105" s="6"/>
      <c r="AF105" s="12"/>
    </row>
    <row r="106" ht="15.0" customHeight="1">
      <c r="A106" s="6"/>
      <c r="B106" s="214">
        <v>38.0</v>
      </c>
      <c r="C106" s="202" t="str">
        <f>IF('INPUT DATA'!N48="","",'INPUT DATA'!N48)</f>
        <v/>
      </c>
      <c r="D106" s="203"/>
      <c r="E106" s="204"/>
      <c r="F106" s="128"/>
      <c r="G106" s="129"/>
      <c r="H106" s="129"/>
      <c r="I106" s="129"/>
      <c r="J106" s="130"/>
      <c r="K106" s="132" t="str">
        <f t="shared" si="13"/>
        <v/>
      </c>
      <c r="L106" s="133" t="str">
        <f t="shared" si="14"/>
        <v/>
      </c>
      <c r="M106" s="134" t="str">
        <f t="shared" si="15"/>
        <v/>
      </c>
      <c r="N106" s="128"/>
      <c r="O106" s="129"/>
      <c r="P106" s="130"/>
      <c r="Q106" s="132" t="str">
        <f t="shared" si="16"/>
        <v/>
      </c>
      <c r="R106" s="133" t="str">
        <f t="shared" si="17"/>
        <v/>
      </c>
      <c r="S106" s="134" t="str">
        <f t="shared" si="18"/>
        <v/>
      </c>
      <c r="T106" s="128"/>
      <c r="U106" s="129"/>
      <c r="V106" s="130"/>
      <c r="W106" s="136" t="str">
        <f t="shared" si="19"/>
        <v/>
      </c>
      <c r="X106" s="133" t="str">
        <f t="shared" si="20"/>
        <v/>
      </c>
      <c r="Y106" s="134" t="str">
        <f t="shared" si="21"/>
        <v/>
      </c>
      <c r="Z106" s="137" t="str">
        <f t="shared" si="22"/>
        <v/>
      </c>
      <c r="AA106" s="138" t="str">
        <f t="shared" si="23"/>
        <v/>
      </c>
      <c r="AB106" s="139" t="str">
        <f t="shared" si="24"/>
        <v/>
      </c>
      <c r="AC106" s="140" t="str">
        <f t="array" ref="AC106">IF(AB106="","",IFERROR(INDEX(HELPER!$D$8:$D$48,IF(AB106&gt;=HELPER!$B$8,1,MATCH(AB106,HELPER!$B$8:$B$48,-1)+1)),""))</f>
        <v/>
      </c>
      <c r="AD106" s="141" t="str">
        <f>IF(AC106="","",IFERROR(VLOOKUP(AC106,HELPER!$F$8:$G$48,2,FALSE),""))</f>
        <v/>
      </c>
      <c r="AE106" s="6"/>
      <c r="AF106" s="12"/>
    </row>
    <row r="107" ht="15.0" customHeight="1">
      <c r="A107" s="6"/>
      <c r="B107" s="214">
        <v>39.0</v>
      </c>
      <c r="C107" s="202" t="str">
        <f>IF('INPUT DATA'!N49="","",'INPUT DATA'!N49)</f>
        <v/>
      </c>
      <c r="D107" s="203"/>
      <c r="E107" s="204"/>
      <c r="F107" s="128"/>
      <c r="G107" s="129"/>
      <c r="H107" s="129"/>
      <c r="I107" s="129"/>
      <c r="J107" s="130"/>
      <c r="K107" s="132" t="str">
        <f t="shared" si="13"/>
        <v/>
      </c>
      <c r="L107" s="133" t="str">
        <f t="shared" si="14"/>
        <v/>
      </c>
      <c r="M107" s="134" t="str">
        <f t="shared" si="15"/>
        <v/>
      </c>
      <c r="N107" s="128"/>
      <c r="O107" s="129"/>
      <c r="P107" s="130"/>
      <c r="Q107" s="132" t="str">
        <f t="shared" si="16"/>
        <v/>
      </c>
      <c r="R107" s="133" t="str">
        <f t="shared" si="17"/>
        <v/>
      </c>
      <c r="S107" s="134" t="str">
        <f t="shared" si="18"/>
        <v/>
      </c>
      <c r="T107" s="128"/>
      <c r="U107" s="129"/>
      <c r="V107" s="130"/>
      <c r="W107" s="136" t="str">
        <f t="shared" si="19"/>
        <v/>
      </c>
      <c r="X107" s="133" t="str">
        <f t="shared" si="20"/>
        <v/>
      </c>
      <c r="Y107" s="134" t="str">
        <f t="shared" si="21"/>
        <v/>
      </c>
      <c r="Z107" s="137" t="str">
        <f t="shared" si="22"/>
        <v/>
      </c>
      <c r="AA107" s="138" t="str">
        <f t="shared" si="23"/>
        <v/>
      </c>
      <c r="AB107" s="139" t="str">
        <f t="shared" si="24"/>
        <v/>
      </c>
      <c r="AC107" s="140" t="str">
        <f t="array" ref="AC107">IF(AB107="","",IFERROR(INDEX(HELPER!$D$8:$D$48,IF(AB107&gt;=HELPER!$B$8,1,MATCH(AB107,HELPER!$B$8:$B$48,-1)+1)),""))</f>
        <v/>
      </c>
      <c r="AD107" s="141" t="str">
        <f>IF(AC107="","",IFERROR(VLOOKUP(AC107,HELPER!$F$8:$G$48,2,FALSE),""))</f>
        <v/>
      </c>
      <c r="AE107" s="6"/>
      <c r="AF107" s="12"/>
    </row>
    <row r="108" ht="15.0" customHeight="1">
      <c r="A108" s="6"/>
      <c r="B108" s="214">
        <v>40.0</v>
      </c>
      <c r="C108" s="202" t="str">
        <f>IF('INPUT DATA'!N50="","",'INPUT DATA'!N50)</f>
        <v/>
      </c>
      <c r="D108" s="203"/>
      <c r="E108" s="204"/>
      <c r="F108" s="128"/>
      <c r="G108" s="129"/>
      <c r="H108" s="129"/>
      <c r="I108" s="129"/>
      <c r="J108" s="130"/>
      <c r="K108" s="132" t="str">
        <f t="shared" si="13"/>
        <v/>
      </c>
      <c r="L108" s="133" t="str">
        <f t="shared" si="14"/>
        <v/>
      </c>
      <c r="M108" s="134" t="str">
        <f t="shared" si="15"/>
        <v/>
      </c>
      <c r="N108" s="128"/>
      <c r="O108" s="129"/>
      <c r="P108" s="130"/>
      <c r="Q108" s="132" t="str">
        <f t="shared" si="16"/>
        <v/>
      </c>
      <c r="R108" s="133" t="str">
        <f t="shared" si="17"/>
        <v/>
      </c>
      <c r="S108" s="134" t="str">
        <f t="shared" si="18"/>
        <v/>
      </c>
      <c r="T108" s="128"/>
      <c r="U108" s="129"/>
      <c r="V108" s="130"/>
      <c r="W108" s="136" t="str">
        <f t="shared" si="19"/>
        <v/>
      </c>
      <c r="X108" s="133" t="str">
        <f t="shared" si="20"/>
        <v/>
      </c>
      <c r="Y108" s="134" t="str">
        <f t="shared" si="21"/>
        <v/>
      </c>
      <c r="Z108" s="137" t="str">
        <f t="shared" si="22"/>
        <v/>
      </c>
      <c r="AA108" s="138" t="str">
        <f t="shared" si="23"/>
        <v/>
      </c>
      <c r="AB108" s="139" t="str">
        <f t="shared" si="24"/>
        <v/>
      </c>
      <c r="AC108" s="140" t="str">
        <f t="array" ref="AC108">IF(AB108="","",IFERROR(INDEX(HELPER!$D$8:$D$48,IF(AB108&gt;=HELPER!$B$8,1,MATCH(AB108,HELPER!$B$8:$B$48,-1)+1)),""))</f>
        <v/>
      </c>
      <c r="AD108" s="141" t="str">
        <f>IF(AC108="","",IFERROR(VLOOKUP(AC108,HELPER!$F$8:$G$48,2,FALSE),""))</f>
        <v/>
      </c>
      <c r="AE108" s="6"/>
      <c r="AF108" s="12"/>
    </row>
    <row r="109" ht="15.0" customHeight="1">
      <c r="A109" s="6"/>
      <c r="B109" s="214">
        <v>41.0</v>
      </c>
      <c r="C109" s="202" t="str">
        <f>IF('INPUT DATA'!N51="","",'INPUT DATA'!N51)</f>
        <v/>
      </c>
      <c r="D109" s="203"/>
      <c r="E109" s="204"/>
      <c r="F109" s="128"/>
      <c r="G109" s="129"/>
      <c r="H109" s="129"/>
      <c r="I109" s="129"/>
      <c r="J109" s="130"/>
      <c r="K109" s="132" t="str">
        <f t="shared" si="13"/>
        <v/>
      </c>
      <c r="L109" s="133" t="str">
        <f t="shared" si="14"/>
        <v/>
      </c>
      <c r="M109" s="134" t="str">
        <f t="shared" si="15"/>
        <v/>
      </c>
      <c r="N109" s="128"/>
      <c r="O109" s="129"/>
      <c r="P109" s="130"/>
      <c r="Q109" s="132" t="str">
        <f t="shared" si="16"/>
        <v/>
      </c>
      <c r="R109" s="133" t="str">
        <f t="shared" si="17"/>
        <v/>
      </c>
      <c r="S109" s="134" t="str">
        <f t="shared" si="18"/>
        <v/>
      </c>
      <c r="T109" s="128"/>
      <c r="U109" s="129"/>
      <c r="V109" s="130"/>
      <c r="W109" s="136" t="str">
        <f t="shared" si="19"/>
        <v/>
      </c>
      <c r="X109" s="133" t="str">
        <f t="shared" si="20"/>
        <v/>
      </c>
      <c r="Y109" s="134" t="str">
        <f t="shared" si="21"/>
        <v/>
      </c>
      <c r="Z109" s="137" t="str">
        <f t="shared" si="22"/>
        <v/>
      </c>
      <c r="AA109" s="138" t="str">
        <f t="shared" si="23"/>
        <v/>
      </c>
      <c r="AB109" s="139" t="str">
        <f t="shared" si="24"/>
        <v/>
      </c>
      <c r="AC109" s="140" t="str">
        <f t="array" ref="AC109">IF(AB109="","",IFERROR(INDEX(HELPER!$D$8:$D$48,IF(AB109&gt;=HELPER!$B$8,1,MATCH(AB109,HELPER!$B$8:$B$48,-1)+1)),""))</f>
        <v/>
      </c>
      <c r="AD109" s="141" t="str">
        <f>IF(AC109="","",IFERROR(VLOOKUP(AC109,HELPER!$F$8:$G$48,2,FALSE),""))</f>
        <v/>
      </c>
      <c r="AE109" s="6"/>
      <c r="AF109" s="12"/>
    </row>
    <row r="110" ht="15.0" customHeight="1">
      <c r="A110" s="6"/>
      <c r="B110" s="214">
        <v>42.0</v>
      </c>
      <c r="C110" s="202" t="str">
        <f>IF('INPUT DATA'!N52="","",'INPUT DATA'!N52)</f>
        <v/>
      </c>
      <c r="D110" s="203"/>
      <c r="E110" s="204"/>
      <c r="F110" s="128"/>
      <c r="G110" s="129"/>
      <c r="H110" s="129"/>
      <c r="I110" s="129"/>
      <c r="J110" s="130"/>
      <c r="K110" s="132" t="str">
        <f t="shared" si="13"/>
        <v/>
      </c>
      <c r="L110" s="133" t="str">
        <f t="shared" si="14"/>
        <v/>
      </c>
      <c r="M110" s="134" t="str">
        <f t="shared" si="15"/>
        <v/>
      </c>
      <c r="N110" s="128"/>
      <c r="O110" s="129"/>
      <c r="P110" s="130"/>
      <c r="Q110" s="132" t="str">
        <f t="shared" si="16"/>
        <v/>
      </c>
      <c r="R110" s="133" t="str">
        <f t="shared" si="17"/>
        <v/>
      </c>
      <c r="S110" s="134" t="str">
        <f t="shared" si="18"/>
        <v/>
      </c>
      <c r="T110" s="128"/>
      <c r="U110" s="129"/>
      <c r="V110" s="130"/>
      <c r="W110" s="136" t="str">
        <f t="shared" si="19"/>
        <v/>
      </c>
      <c r="X110" s="133" t="str">
        <f t="shared" si="20"/>
        <v/>
      </c>
      <c r="Y110" s="134" t="str">
        <f t="shared" si="21"/>
        <v/>
      </c>
      <c r="Z110" s="137" t="str">
        <f t="shared" si="22"/>
        <v/>
      </c>
      <c r="AA110" s="138" t="str">
        <f t="shared" si="23"/>
        <v/>
      </c>
      <c r="AB110" s="139" t="str">
        <f t="shared" si="24"/>
        <v/>
      </c>
      <c r="AC110" s="140" t="str">
        <f t="array" ref="AC110">IF(AB110="","",IFERROR(INDEX(HELPER!$D$8:$D$48,IF(AB110&gt;=HELPER!$B$8,1,MATCH(AB110,HELPER!$B$8:$B$48,-1)+1)),""))</f>
        <v/>
      </c>
      <c r="AD110" s="141" t="str">
        <f>IF(AC110="","",IFERROR(VLOOKUP(AC110,HELPER!$F$8:$G$48,2,FALSE),""))</f>
        <v/>
      </c>
      <c r="AE110" s="6"/>
      <c r="AF110" s="12"/>
    </row>
    <row r="111" ht="15.0" customHeight="1">
      <c r="A111" s="6"/>
      <c r="B111" s="214">
        <v>43.0</v>
      </c>
      <c r="C111" s="202" t="str">
        <f>IF('INPUT DATA'!N53="","",'INPUT DATA'!N53)</f>
        <v/>
      </c>
      <c r="D111" s="203"/>
      <c r="E111" s="204"/>
      <c r="F111" s="128"/>
      <c r="G111" s="129"/>
      <c r="H111" s="129"/>
      <c r="I111" s="129"/>
      <c r="J111" s="130"/>
      <c r="K111" s="132" t="str">
        <f t="shared" si="13"/>
        <v/>
      </c>
      <c r="L111" s="133" t="str">
        <f t="shared" si="14"/>
        <v/>
      </c>
      <c r="M111" s="134" t="str">
        <f t="shared" si="15"/>
        <v/>
      </c>
      <c r="N111" s="128"/>
      <c r="O111" s="129"/>
      <c r="P111" s="130"/>
      <c r="Q111" s="132" t="str">
        <f t="shared" si="16"/>
        <v/>
      </c>
      <c r="R111" s="133" t="str">
        <f t="shared" si="17"/>
        <v/>
      </c>
      <c r="S111" s="134" t="str">
        <f t="shared" si="18"/>
        <v/>
      </c>
      <c r="T111" s="128"/>
      <c r="U111" s="129"/>
      <c r="V111" s="130"/>
      <c r="W111" s="136" t="str">
        <f t="shared" si="19"/>
        <v/>
      </c>
      <c r="X111" s="133" t="str">
        <f t="shared" si="20"/>
        <v/>
      </c>
      <c r="Y111" s="134" t="str">
        <f t="shared" si="21"/>
        <v/>
      </c>
      <c r="Z111" s="137" t="str">
        <f t="shared" si="22"/>
        <v/>
      </c>
      <c r="AA111" s="138" t="str">
        <f t="shared" si="23"/>
        <v/>
      </c>
      <c r="AB111" s="139" t="str">
        <f t="shared" si="24"/>
        <v/>
      </c>
      <c r="AC111" s="140" t="str">
        <f t="array" ref="AC111">IF(AB111="","",IFERROR(INDEX(HELPER!$D$8:$D$48,IF(AB111&gt;=HELPER!$B$8,1,MATCH(AB111,HELPER!$B$8:$B$48,-1)+1)),""))</f>
        <v/>
      </c>
      <c r="AD111" s="141" t="str">
        <f>IF(AC111="","",IFERROR(VLOOKUP(AC111,HELPER!$F$8:$G$48,2,FALSE),""))</f>
        <v/>
      </c>
      <c r="AE111" s="6"/>
      <c r="AF111" s="12"/>
    </row>
    <row r="112" ht="15.0" customHeight="1">
      <c r="A112" s="6"/>
      <c r="B112" s="214">
        <v>44.0</v>
      </c>
      <c r="C112" s="202" t="str">
        <f>IF('INPUT DATA'!N54="","",'INPUT DATA'!N54)</f>
        <v/>
      </c>
      <c r="D112" s="203"/>
      <c r="E112" s="204"/>
      <c r="F112" s="128"/>
      <c r="G112" s="129"/>
      <c r="H112" s="129"/>
      <c r="I112" s="129"/>
      <c r="J112" s="130"/>
      <c r="K112" s="132" t="str">
        <f t="shared" si="13"/>
        <v/>
      </c>
      <c r="L112" s="133" t="str">
        <f t="shared" si="14"/>
        <v/>
      </c>
      <c r="M112" s="134" t="str">
        <f t="shared" si="15"/>
        <v/>
      </c>
      <c r="N112" s="128"/>
      <c r="O112" s="129"/>
      <c r="P112" s="130"/>
      <c r="Q112" s="132" t="str">
        <f t="shared" si="16"/>
        <v/>
      </c>
      <c r="R112" s="133" t="str">
        <f t="shared" si="17"/>
        <v/>
      </c>
      <c r="S112" s="134" t="str">
        <f t="shared" si="18"/>
        <v/>
      </c>
      <c r="T112" s="128"/>
      <c r="U112" s="129"/>
      <c r="V112" s="130"/>
      <c r="W112" s="136" t="str">
        <f t="shared" si="19"/>
        <v/>
      </c>
      <c r="X112" s="133" t="str">
        <f t="shared" si="20"/>
        <v/>
      </c>
      <c r="Y112" s="134" t="str">
        <f t="shared" si="21"/>
        <v/>
      </c>
      <c r="Z112" s="137" t="str">
        <f t="shared" si="22"/>
        <v/>
      </c>
      <c r="AA112" s="138" t="str">
        <f t="shared" si="23"/>
        <v/>
      </c>
      <c r="AB112" s="139" t="str">
        <f t="shared" si="24"/>
        <v/>
      </c>
      <c r="AC112" s="140" t="str">
        <f t="array" ref="AC112">IF(AB112="","",IFERROR(INDEX(HELPER!$D$8:$D$48,IF(AB112&gt;=HELPER!$B$8,1,MATCH(AB112,HELPER!$B$8:$B$48,-1)+1)),""))</f>
        <v/>
      </c>
      <c r="AD112" s="141" t="str">
        <f>IF(AC112="","",IFERROR(VLOOKUP(AC112,HELPER!$F$8:$G$48,2,FALSE),""))</f>
        <v/>
      </c>
      <c r="AE112" s="6"/>
      <c r="AF112" s="12"/>
    </row>
    <row r="113" ht="15.0" customHeight="1">
      <c r="A113" s="6"/>
      <c r="B113" s="214">
        <v>45.0</v>
      </c>
      <c r="C113" s="202" t="str">
        <f>IF('INPUT DATA'!N55="","",'INPUT DATA'!N55)</f>
        <v/>
      </c>
      <c r="D113" s="203"/>
      <c r="E113" s="204"/>
      <c r="F113" s="128"/>
      <c r="G113" s="129"/>
      <c r="H113" s="129"/>
      <c r="I113" s="129"/>
      <c r="J113" s="130"/>
      <c r="K113" s="132" t="str">
        <f t="shared" si="13"/>
        <v/>
      </c>
      <c r="L113" s="133" t="str">
        <f t="shared" si="14"/>
        <v/>
      </c>
      <c r="M113" s="134" t="str">
        <f t="shared" si="15"/>
        <v/>
      </c>
      <c r="N113" s="128"/>
      <c r="O113" s="129"/>
      <c r="P113" s="130"/>
      <c r="Q113" s="132" t="str">
        <f t="shared" si="16"/>
        <v/>
      </c>
      <c r="R113" s="133" t="str">
        <f t="shared" si="17"/>
        <v/>
      </c>
      <c r="S113" s="134" t="str">
        <f t="shared" si="18"/>
        <v/>
      </c>
      <c r="T113" s="128"/>
      <c r="U113" s="129"/>
      <c r="V113" s="130"/>
      <c r="W113" s="136" t="str">
        <f t="shared" si="19"/>
        <v/>
      </c>
      <c r="X113" s="133" t="str">
        <f t="shared" si="20"/>
        <v/>
      </c>
      <c r="Y113" s="134" t="str">
        <f t="shared" si="21"/>
        <v/>
      </c>
      <c r="Z113" s="137" t="str">
        <f t="shared" si="22"/>
        <v/>
      </c>
      <c r="AA113" s="138" t="str">
        <f t="shared" si="23"/>
        <v/>
      </c>
      <c r="AB113" s="139" t="str">
        <f t="shared" si="24"/>
        <v/>
      </c>
      <c r="AC113" s="140" t="str">
        <f t="array" ref="AC113">IF(AB113="","",IFERROR(INDEX(HELPER!$D$8:$D$48,IF(AB113&gt;=HELPER!$B$8,1,MATCH(AB113,HELPER!$B$8:$B$48,-1)+1)),""))</f>
        <v/>
      </c>
      <c r="AD113" s="141" t="str">
        <f>IF(AC113="","",IFERROR(VLOOKUP(AC113,HELPER!$F$8:$G$48,2,FALSE),""))</f>
        <v/>
      </c>
      <c r="AE113" s="6"/>
      <c r="AF113" s="12"/>
    </row>
    <row r="114" ht="15.0" customHeight="1">
      <c r="A114" s="6"/>
      <c r="B114" s="214">
        <v>46.0</v>
      </c>
      <c r="C114" s="202" t="str">
        <f>IF('INPUT DATA'!N56="","",'INPUT DATA'!N56)</f>
        <v/>
      </c>
      <c r="D114" s="203"/>
      <c r="E114" s="204"/>
      <c r="F114" s="128"/>
      <c r="G114" s="129"/>
      <c r="H114" s="129"/>
      <c r="I114" s="129"/>
      <c r="J114" s="130"/>
      <c r="K114" s="132" t="str">
        <f t="shared" si="13"/>
        <v/>
      </c>
      <c r="L114" s="133" t="str">
        <f t="shared" si="14"/>
        <v/>
      </c>
      <c r="M114" s="134" t="str">
        <f t="shared" si="15"/>
        <v/>
      </c>
      <c r="N114" s="128"/>
      <c r="O114" s="129"/>
      <c r="P114" s="130"/>
      <c r="Q114" s="132" t="str">
        <f t="shared" si="16"/>
        <v/>
      </c>
      <c r="R114" s="133" t="str">
        <f t="shared" si="17"/>
        <v/>
      </c>
      <c r="S114" s="134" t="str">
        <f t="shared" si="18"/>
        <v/>
      </c>
      <c r="T114" s="128"/>
      <c r="U114" s="129"/>
      <c r="V114" s="130"/>
      <c r="W114" s="136" t="str">
        <f t="shared" si="19"/>
        <v/>
      </c>
      <c r="X114" s="133" t="str">
        <f t="shared" si="20"/>
        <v/>
      </c>
      <c r="Y114" s="134" t="str">
        <f t="shared" si="21"/>
        <v/>
      </c>
      <c r="Z114" s="137" t="str">
        <f t="shared" si="22"/>
        <v/>
      </c>
      <c r="AA114" s="138" t="str">
        <f t="shared" si="23"/>
        <v/>
      </c>
      <c r="AB114" s="139" t="str">
        <f t="shared" si="24"/>
        <v/>
      </c>
      <c r="AC114" s="140" t="str">
        <f t="array" ref="AC114">IF(AB114="","",IFERROR(INDEX(HELPER!$D$8:$D$48,IF(AB114&gt;=HELPER!$B$8,1,MATCH(AB114,HELPER!$B$8:$B$48,-1)+1)),""))</f>
        <v/>
      </c>
      <c r="AD114" s="141" t="str">
        <f>IF(AC114="","",IFERROR(VLOOKUP(AC114,HELPER!$F$8:$G$48,2,FALSE),""))</f>
        <v/>
      </c>
      <c r="AE114" s="6"/>
      <c r="AF114" s="12"/>
    </row>
    <row r="115" ht="15.0" customHeight="1">
      <c r="A115" s="6"/>
      <c r="B115" s="214">
        <v>47.0</v>
      </c>
      <c r="C115" s="202" t="str">
        <f>IF('INPUT DATA'!N57="","",'INPUT DATA'!N57)</f>
        <v/>
      </c>
      <c r="D115" s="203"/>
      <c r="E115" s="204"/>
      <c r="F115" s="128"/>
      <c r="G115" s="129"/>
      <c r="H115" s="129"/>
      <c r="I115" s="129"/>
      <c r="J115" s="130"/>
      <c r="K115" s="132" t="str">
        <f t="shared" si="13"/>
        <v/>
      </c>
      <c r="L115" s="133" t="str">
        <f t="shared" si="14"/>
        <v/>
      </c>
      <c r="M115" s="134" t="str">
        <f t="shared" si="15"/>
        <v/>
      </c>
      <c r="N115" s="128"/>
      <c r="O115" s="129"/>
      <c r="P115" s="130"/>
      <c r="Q115" s="132" t="str">
        <f t="shared" si="16"/>
        <v/>
      </c>
      <c r="R115" s="133" t="str">
        <f t="shared" si="17"/>
        <v/>
      </c>
      <c r="S115" s="134" t="str">
        <f t="shared" si="18"/>
        <v/>
      </c>
      <c r="T115" s="128"/>
      <c r="U115" s="129"/>
      <c r="V115" s="130"/>
      <c r="W115" s="136" t="str">
        <f t="shared" si="19"/>
        <v/>
      </c>
      <c r="X115" s="133" t="str">
        <f t="shared" si="20"/>
        <v/>
      </c>
      <c r="Y115" s="134" t="str">
        <f t="shared" si="21"/>
        <v/>
      </c>
      <c r="Z115" s="137" t="str">
        <f t="shared" si="22"/>
        <v/>
      </c>
      <c r="AA115" s="138" t="str">
        <f t="shared" si="23"/>
        <v/>
      </c>
      <c r="AB115" s="139" t="str">
        <f t="shared" si="24"/>
        <v/>
      </c>
      <c r="AC115" s="140" t="str">
        <f t="array" ref="AC115">IF(AB115="","",IFERROR(INDEX(HELPER!$D$8:$D$48,IF(AB115&gt;=HELPER!$B$8,1,MATCH(AB115,HELPER!$B$8:$B$48,-1)+1)),""))</f>
        <v/>
      </c>
      <c r="AD115" s="141" t="str">
        <f>IF(AC115="","",IFERROR(VLOOKUP(AC115,HELPER!$F$8:$G$48,2,FALSE),""))</f>
        <v/>
      </c>
      <c r="AE115" s="6"/>
      <c r="AF115" s="12"/>
    </row>
    <row r="116" ht="15.0" customHeight="1">
      <c r="A116" s="6"/>
      <c r="B116" s="214">
        <v>48.0</v>
      </c>
      <c r="C116" s="202" t="str">
        <f>IF('INPUT DATA'!N58="","",'INPUT DATA'!N58)</f>
        <v/>
      </c>
      <c r="D116" s="203"/>
      <c r="E116" s="204"/>
      <c r="F116" s="128"/>
      <c r="G116" s="129"/>
      <c r="H116" s="129"/>
      <c r="I116" s="129"/>
      <c r="J116" s="130"/>
      <c r="K116" s="132" t="str">
        <f t="shared" si="13"/>
        <v/>
      </c>
      <c r="L116" s="133" t="str">
        <f t="shared" si="14"/>
        <v/>
      </c>
      <c r="M116" s="134" t="str">
        <f t="shared" si="15"/>
        <v/>
      </c>
      <c r="N116" s="128"/>
      <c r="O116" s="129"/>
      <c r="P116" s="130"/>
      <c r="Q116" s="132" t="str">
        <f t="shared" si="16"/>
        <v/>
      </c>
      <c r="R116" s="133" t="str">
        <f t="shared" si="17"/>
        <v/>
      </c>
      <c r="S116" s="134" t="str">
        <f t="shared" si="18"/>
        <v/>
      </c>
      <c r="T116" s="128"/>
      <c r="U116" s="129"/>
      <c r="V116" s="130"/>
      <c r="W116" s="136" t="str">
        <f t="shared" si="19"/>
        <v/>
      </c>
      <c r="X116" s="133" t="str">
        <f t="shared" si="20"/>
        <v/>
      </c>
      <c r="Y116" s="134" t="str">
        <f t="shared" si="21"/>
        <v/>
      </c>
      <c r="Z116" s="137" t="str">
        <f t="shared" si="22"/>
        <v/>
      </c>
      <c r="AA116" s="138" t="str">
        <f t="shared" si="23"/>
        <v/>
      </c>
      <c r="AB116" s="139" t="str">
        <f t="shared" si="24"/>
        <v/>
      </c>
      <c r="AC116" s="140" t="str">
        <f t="array" ref="AC116">IF(AB116="","",IFERROR(INDEX(HELPER!$D$8:$D$48,IF(AB116&gt;=HELPER!$B$8,1,MATCH(AB116,HELPER!$B$8:$B$48,-1)+1)),""))</f>
        <v/>
      </c>
      <c r="AD116" s="141" t="str">
        <f>IF(AC116="","",IFERROR(VLOOKUP(AC116,HELPER!$F$8:$G$48,2,FALSE),""))</f>
        <v/>
      </c>
      <c r="AE116" s="6"/>
      <c r="AF116" s="12"/>
    </row>
    <row r="117" ht="15.0" customHeight="1">
      <c r="A117" s="6"/>
      <c r="B117" s="214">
        <v>49.0</v>
      </c>
      <c r="C117" s="202" t="str">
        <f>IF('INPUT DATA'!N59="","",'INPUT DATA'!N59)</f>
        <v/>
      </c>
      <c r="D117" s="203"/>
      <c r="E117" s="204"/>
      <c r="F117" s="128"/>
      <c r="G117" s="129"/>
      <c r="H117" s="129"/>
      <c r="I117" s="129"/>
      <c r="J117" s="130"/>
      <c r="K117" s="132" t="str">
        <f t="shared" si="13"/>
        <v/>
      </c>
      <c r="L117" s="133" t="str">
        <f t="shared" si="14"/>
        <v/>
      </c>
      <c r="M117" s="134" t="str">
        <f t="shared" si="15"/>
        <v/>
      </c>
      <c r="N117" s="128"/>
      <c r="O117" s="129"/>
      <c r="P117" s="130"/>
      <c r="Q117" s="132" t="str">
        <f t="shared" si="16"/>
        <v/>
      </c>
      <c r="R117" s="133" t="str">
        <f t="shared" si="17"/>
        <v/>
      </c>
      <c r="S117" s="134" t="str">
        <f t="shared" si="18"/>
        <v/>
      </c>
      <c r="T117" s="128"/>
      <c r="U117" s="129"/>
      <c r="V117" s="130"/>
      <c r="W117" s="136" t="str">
        <f t="shared" si="19"/>
        <v/>
      </c>
      <c r="X117" s="133" t="str">
        <f t="shared" si="20"/>
        <v/>
      </c>
      <c r="Y117" s="134" t="str">
        <f t="shared" si="21"/>
        <v/>
      </c>
      <c r="Z117" s="137" t="str">
        <f t="shared" si="22"/>
        <v/>
      </c>
      <c r="AA117" s="138" t="str">
        <f t="shared" si="23"/>
        <v/>
      </c>
      <c r="AB117" s="139" t="str">
        <f t="shared" si="24"/>
        <v/>
      </c>
      <c r="AC117" s="140" t="str">
        <f t="array" ref="AC117">IF(AB117="","",IFERROR(INDEX(HELPER!$D$8:$D$48,IF(AB117&gt;=HELPER!$B$8,1,MATCH(AB117,HELPER!$B$8:$B$48,-1)+1)),""))</f>
        <v/>
      </c>
      <c r="AD117" s="141" t="str">
        <f>IF(AC117="","",IFERROR(VLOOKUP(AC117,HELPER!$F$8:$G$48,2,FALSE),""))</f>
        <v/>
      </c>
      <c r="AE117" s="6"/>
      <c r="AF117" s="12"/>
    </row>
    <row r="118" ht="15.0" customHeight="1">
      <c r="A118" s="6"/>
      <c r="B118" s="220">
        <v>50.0</v>
      </c>
      <c r="C118" s="221" t="str">
        <f>IF('INPUT DATA'!N60="","",'INPUT DATA'!N60)</f>
        <v/>
      </c>
      <c r="D118" s="222"/>
      <c r="E118" s="223"/>
      <c r="F118" s="184"/>
      <c r="G118" s="185"/>
      <c r="H118" s="185"/>
      <c r="I118" s="185"/>
      <c r="J118" s="186"/>
      <c r="K118" s="224" t="str">
        <f t="shared" si="13"/>
        <v/>
      </c>
      <c r="L118" s="225" t="str">
        <f t="shared" si="14"/>
        <v/>
      </c>
      <c r="M118" s="226" t="str">
        <f t="shared" si="15"/>
        <v/>
      </c>
      <c r="N118" s="184"/>
      <c r="O118" s="185"/>
      <c r="P118" s="186"/>
      <c r="Q118" s="224" t="str">
        <f t="shared" si="16"/>
        <v/>
      </c>
      <c r="R118" s="225" t="str">
        <f t="shared" si="17"/>
        <v/>
      </c>
      <c r="S118" s="226" t="str">
        <f t="shared" si="18"/>
        <v/>
      </c>
      <c r="T118" s="184"/>
      <c r="U118" s="185"/>
      <c r="V118" s="186"/>
      <c r="W118" s="227" t="str">
        <f t="shared" si="19"/>
        <v/>
      </c>
      <c r="X118" s="225" t="str">
        <f t="shared" si="20"/>
        <v/>
      </c>
      <c r="Y118" s="226" t="str">
        <f t="shared" si="21"/>
        <v/>
      </c>
      <c r="Z118" s="228" t="str">
        <f t="shared" si="22"/>
        <v/>
      </c>
      <c r="AA118" s="229" t="str">
        <f t="shared" si="23"/>
        <v/>
      </c>
      <c r="AB118" s="230" t="str">
        <f t="shared" si="24"/>
        <v/>
      </c>
      <c r="AC118" s="187" t="str">
        <f t="array" ref="AC118">IF(AB118="","",IFERROR(INDEX(HELPER!$D$8:$D$48,IF(AB118&gt;=HELPER!$B$8,1,MATCH(AB118,HELPER!$B$8:$B$48,-1)+1)),""))</f>
        <v/>
      </c>
      <c r="AD118" s="188" t="str">
        <f>IF(AC118="","",IFERROR(VLOOKUP(AC118,HELPER!$F$8:$G$48,2,FALSE),""))</f>
        <v/>
      </c>
      <c r="AE118" s="6"/>
      <c r="AF118" s="12"/>
    </row>
    <row r="119" ht="15.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5.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13"/>
    </row>
    <row r="2" ht="15.75" customHeight="1">
      <c r="A2" s="4"/>
      <c r="B2" s="14" t="s">
        <v>1</v>
      </c>
      <c r="AE2" s="4"/>
      <c r="AF2" s="13"/>
    </row>
    <row r="3" ht="15.75" customHeight="1">
      <c r="A3" s="4"/>
      <c r="AE3" s="4"/>
      <c r="AF3" s="13"/>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13"/>
    </row>
    <row r="5" ht="15.75" customHeight="1">
      <c r="A5" s="6"/>
      <c r="B5" s="6"/>
      <c r="C5" s="6"/>
      <c r="D5" s="6"/>
      <c r="E5" s="21" t="s">
        <v>4</v>
      </c>
      <c r="F5" s="28" t="str">
        <f>IF('INPUT DATA'!E10="","",'INPUT DATA'!E10)</f>
        <v/>
      </c>
      <c r="G5" s="29"/>
      <c r="H5" s="29"/>
      <c r="I5" s="29"/>
      <c r="J5" s="29"/>
      <c r="K5" s="29"/>
      <c r="L5" s="31"/>
      <c r="M5" s="6"/>
      <c r="N5" s="6"/>
      <c r="O5" s="6"/>
      <c r="P5" s="6"/>
      <c r="Q5" s="21" t="s">
        <v>8</v>
      </c>
      <c r="R5" s="28" t="str">
        <f>IF('INPUT DATA'!E11="","",'INPUT DATA'!E11)</f>
        <v/>
      </c>
      <c r="S5" s="29"/>
      <c r="T5" s="29"/>
      <c r="U5" s="29"/>
      <c r="V5" s="31"/>
      <c r="W5" s="6"/>
      <c r="X5" s="6"/>
      <c r="Y5" s="21" t="s">
        <v>9</v>
      </c>
      <c r="Z5" s="28" t="str">
        <f>IF('INPUT DATA'!E13="","",'INPUT DATA'!E13)</f>
        <v/>
      </c>
      <c r="AA5" s="29"/>
      <c r="AB5" s="31"/>
      <c r="AC5" s="6"/>
      <c r="AD5" s="6"/>
      <c r="AE5" s="6"/>
      <c r="AF5" s="12"/>
    </row>
    <row r="6" ht="6.0" customHeight="1">
      <c r="A6" s="6"/>
      <c r="B6" s="6"/>
      <c r="C6" s="6"/>
      <c r="D6" s="6"/>
      <c r="E6" s="21"/>
      <c r="F6" s="36"/>
      <c r="G6" s="38"/>
      <c r="H6" s="38"/>
      <c r="I6" s="38"/>
      <c r="J6" s="38"/>
      <c r="K6" s="38"/>
      <c r="L6" s="38"/>
      <c r="M6" s="6"/>
      <c r="N6" s="6"/>
      <c r="O6" s="6"/>
      <c r="P6" s="6"/>
      <c r="Q6" s="21"/>
      <c r="R6" s="36"/>
      <c r="S6" s="38"/>
      <c r="T6" s="38"/>
      <c r="U6" s="38"/>
      <c r="V6" s="38"/>
      <c r="W6" s="6"/>
      <c r="X6" s="6"/>
      <c r="Y6" s="21"/>
      <c r="Z6" s="36"/>
      <c r="AA6" s="38"/>
      <c r="AB6" s="38"/>
      <c r="AC6" s="6"/>
      <c r="AD6" s="6"/>
      <c r="AE6" s="6"/>
      <c r="AF6" s="12"/>
    </row>
    <row r="7" ht="15.75" customHeight="1">
      <c r="A7" s="6"/>
      <c r="B7" s="6"/>
      <c r="C7" s="6"/>
      <c r="D7" s="6"/>
      <c r="E7" s="21" t="s">
        <v>10</v>
      </c>
      <c r="F7" s="28" t="str">
        <f>IF('INPUT DATA'!E14="","",'INPUT DATA'!E14)</f>
        <v/>
      </c>
      <c r="G7" s="29"/>
      <c r="H7" s="29"/>
      <c r="I7" s="29"/>
      <c r="J7" s="29"/>
      <c r="K7" s="29"/>
      <c r="L7" s="29"/>
      <c r="M7" s="29"/>
      <c r="N7" s="29"/>
      <c r="O7" s="29"/>
      <c r="P7" s="29"/>
      <c r="Q7" s="29"/>
      <c r="R7" s="29"/>
      <c r="S7" s="29"/>
      <c r="T7" s="29"/>
      <c r="U7" s="29"/>
      <c r="V7" s="31"/>
      <c r="W7" s="6"/>
      <c r="X7" s="6"/>
      <c r="Y7" s="21" t="s">
        <v>11</v>
      </c>
      <c r="Z7" s="28" t="str">
        <f>IF('INPUT DATA'!E15="","",'INPUT DATA'!E15)</f>
        <v/>
      </c>
      <c r="AA7" s="29"/>
      <c r="AB7" s="31"/>
      <c r="AC7" s="6"/>
      <c r="AD7" s="6"/>
      <c r="AE7" s="6"/>
      <c r="AF7" s="12"/>
    </row>
    <row r="8" ht="15.7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6"/>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31"/>
      <c r="AE9" s="6"/>
      <c r="AF9" s="12"/>
    </row>
    <row r="10" ht="15.75" customHeight="1">
      <c r="A10" s="6"/>
      <c r="B10" s="47" t="s">
        <v>12</v>
      </c>
      <c r="C10" s="3"/>
      <c r="D10" s="3"/>
      <c r="E10" s="48"/>
      <c r="F10" s="49" t="s">
        <v>15</v>
      </c>
      <c r="G10" s="50"/>
      <c r="H10" s="50"/>
      <c r="I10" s="51"/>
      <c r="J10" s="52" t="str">
        <f>IF('INPUT DATA'!E25="","",'INPUT DATA'!E25)</f>
        <v/>
      </c>
      <c r="K10" s="54"/>
      <c r="L10" s="54"/>
      <c r="M10" s="55"/>
      <c r="N10" s="57" t="s">
        <v>17</v>
      </c>
      <c r="O10" s="3"/>
      <c r="P10" s="48"/>
      <c r="Q10" s="59" t="str">
        <f>IF('INPUT DATA'!E23="","",'INPUT DATA'!E23)</f>
        <v/>
      </c>
      <c r="R10" s="3"/>
      <c r="S10" s="3"/>
      <c r="T10" s="3"/>
      <c r="U10" s="3"/>
      <c r="V10" s="3"/>
      <c r="W10" s="3"/>
      <c r="X10" s="48"/>
      <c r="Y10" s="57" t="s">
        <v>18</v>
      </c>
      <c r="Z10" s="5"/>
      <c r="AA10" s="59" t="str">
        <f>IF('INPUT DATA'!E24="","",'INPUT DATA'!E24)</f>
        <v/>
      </c>
      <c r="AB10" s="3"/>
      <c r="AC10" s="3"/>
      <c r="AD10" s="48"/>
      <c r="AE10" s="6"/>
      <c r="AF10" s="12"/>
    </row>
    <row r="11" ht="15.75" customHeight="1">
      <c r="A11" s="6"/>
      <c r="B11" s="60"/>
      <c r="E11" s="61"/>
      <c r="F11" s="62" t="s">
        <v>19</v>
      </c>
      <c r="G11" s="29"/>
      <c r="H11" s="29"/>
      <c r="I11" s="31"/>
      <c r="J11" s="63" t="str">
        <f>IF('INPUT DATA'!E26="","",'INPUT DATA'!E26)</f>
        <v/>
      </c>
      <c r="K11" s="29"/>
      <c r="L11" s="29"/>
      <c r="M11" s="31"/>
      <c r="N11" s="64"/>
      <c r="O11" s="50"/>
      <c r="P11" s="51"/>
      <c r="Q11" s="64"/>
      <c r="R11" s="50"/>
      <c r="S11" s="50"/>
      <c r="T11" s="50"/>
      <c r="U11" s="50"/>
      <c r="V11" s="50"/>
      <c r="W11" s="50"/>
      <c r="X11" s="51"/>
      <c r="Y11" s="64"/>
      <c r="Z11" s="65"/>
      <c r="AA11" s="64"/>
      <c r="AB11" s="50"/>
      <c r="AC11" s="50"/>
      <c r="AD11" s="51"/>
      <c r="AE11" s="6"/>
      <c r="AF11" s="12"/>
    </row>
    <row r="12" ht="15.75" customHeight="1">
      <c r="A12" s="6"/>
      <c r="B12" s="60"/>
      <c r="E12" s="61"/>
      <c r="F12" s="66" t="s">
        <v>21</v>
      </c>
      <c r="G12" s="16"/>
      <c r="H12" s="16"/>
      <c r="I12" s="16"/>
      <c r="J12" s="16"/>
      <c r="K12" s="16"/>
      <c r="L12" s="16"/>
      <c r="M12" s="17"/>
      <c r="N12" s="67" t="s">
        <v>22</v>
      </c>
      <c r="O12" s="16"/>
      <c r="P12" s="16"/>
      <c r="Q12" s="16"/>
      <c r="R12" s="16"/>
      <c r="S12" s="17"/>
      <c r="T12" s="67" t="s">
        <v>23</v>
      </c>
      <c r="U12" s="16"/>
      <c r="V12" s="16"/>
      <c r="W12" s="16"/>
      <c r="X12" s="16"/>
      <c r="Y12" s="16"/>
      <c r="Z12" s="16"/>
      <c r="AA12" s="17"/>
      <c r="AB12" s="68" t="s">
        <v>24</v>
      </c>
      <c r="AC12" s="68" t="s">
        <v>26</v>
      </c>
      <c r="AD12" s="68" t="s">
        <v>27</v>
      </c>
      <c r="AE12" s="6"/>
      <c r="AF12" s="12"/>
    </row>
    <row r="13" ht="15.75" customHeight="1">
      <c r="A13" s="6"/>
      <c r="B13" s="60"/>
      <c r="E13" s="61"/>
      <c r="F13" s="64"/>
      <c r="G13" s="50"/>
      <c r="H13" s="50"/>
      <c r="I13" s="50"/>
      <c r="J13" s="50"/>
      <c r="K13" s="50"/>
      <c r="L13" s="50"/>
      <c r="M13" s="51"/>
      <c r="N13" s="64"/>
      <c r="O13" s="50"/>
      <c r="P13" s="50"/>
      <c r="Q13" s="50"/>
      <c r="R13" s="50"/>
      <c r="S13" s="51"/>
      <c r="T13" s="64"/>
      <c r="U13" s="50"/>
      <c r="V13" s="50"/>
      <c r="W13" s="50"/>
      <c r="X13" s="50"/>
      <c r="Y13" s="50"/>
      <c r="Z13" s="50"/>
      <c r="AA13" s="51"/>
      <c r="AB13" s="71"/>
      <c r="AC13" s="71"/>
      <c r="AD13" s="71"/>
      <c r="AE13" s="6"/>
      <c r="AF13" s="12"/>
    </row>
    <row r="14" ht="15.75" customHeight="1">
      <c r="A14" s="6"/>
      <c r="B14" s="18"/>
      <c r="C14" s="10"/>
      <c r="D14" s="10"/>
      <c r="E14" s="19"/>
      <c r="F14" s="72">
        <v>1.0</v>
      </c>
      <c r="G14" s="73">
        <v>2.0</v>
      </c>
      <c r="H14" s="73">
        <v>3.0</v>
      </c>
      <c r="I14" s="73">
        <v>4.0</v>
      </c>
      <c r="J14" s="74">
        <v>5.0</v>
      </c>
      <c r="K14" s="75" t="s">
        <v>28</v>
      </c>
      <c r="L14" s="75" t="s">
        <v>29</v>
      </c>
      <c r="M14" s="75" t="s">
        <v>30</v>
      </c>
      <c r="N14" s="72">
        <v>1.0</v>
      </c>
      <c r="O14" s="73">
        <v>2.0</v>
      </c>
      <c r="P14" s="74">
        <v>3.0</v>
      </c>
      <c r="Q14" s="75" t="s">
        <v>28</v>
      </c>
      <c r="R14" s="75" t="s">
        <v>29</v>
      </c>
      <c r="S14" s="75" t="s">
        <v>30</v>
      </c>
      <c r="T14" s="72" t="s">
        <v>31</v>
      </c>
      <c r="U14" s="73" t="s">
        <v>32</v>
      </c>
      <c r="V14" s="74" t="s">
        <v>33</v>
      </c>
      <c r="W14" s="76" t="s">
        <v>34</v>
      </c>
      <c r="X14" s="77" t="s">
        <v>35</v>
      </c>
      <c r="Y14" s="78" t="s">
        <v>36</v>
      </c>
      <c r="Z14" s="75" t="s">
        <v>29</v>
      </c>
      <c r="AA14" s="75" t="s">
        <v>30</v>
      </c>
      <c r="AB14" s="71"/>
      <c r="AC14" s="71"/>
      <c r="AD14" s="71"/>
      <c r="AE14" s="6"/>
      <c r="AF14" s="12"/>
    </row>
    <row r="15" ht="15.75" customHeight="1">
      <c r="A15" s="6"/>
      <c r="B15" s="81" t="s">
        <v>37</v>
      </c>
      <c r="C15" s="29"/>
      <c r="D15" s="29"/>
      <c r="E15" s="31"/>
      <c r="F15" s="82"/>
      <c r="G15" s="84"/>
      <c r="H15" s="84"/>
      <c r="I15" s="84"/>
      <c r="J15" s="86"/>
      <c r="K15" s="88" t="str">
        <f>IF(COUNT(F15:J15)=0,"",SUM(F15:J15))</f>
        <v/>
      </c>
      <c r="L15" s="89">
        <v>100.0</v>
      </c>
      <c r="M15" s="91">
        <v>0.2</v>
      </c>
      <c r="N15" s="82"/>
      <c r="O15" s="84"/>
      <c r="P15" s="86"/>
      <c r="Q15" s="88" t="str">
        <f>IF(COUNT(N15:P15)=0,"",SUM(N15:P15))</f>
        <v/>
      </c>
      <c r="R15" s="94">
        <v>100.0</v>
      </c>
      <c r="S15" s="95">
        <v>0.5</v>
      </c>
      <c r="T15" s="82"/>
      <c r="U15" s="84"/>
      <c r="V15" s="86"/>
      <c r="W15" s="96">
        <v>30.0</v>
      </c>
      <c r="X15" s="97">
        <v>30.0</v>
      </c>
      <c r="Y15" s="98">
        <v>40.0</v>
      </c>
      <c r="Z15" s="94">
        <v>100.0</v>
      </c>
      <c r="AA15" s="95">
        <v>0.3</v>
      </c>
      <c r="AB15" s="99"/>
      <c r="AC15" s="99"/>
      <c r="AD15" s="99"/>
      <c r="AE15" s="6"/>
      <c r="AF15" s="12"/>
    </row>
    <row r="16" ht="15.75" customHeight="1">
      <c r="A16" s="6"/>
      <c r="B16" s="102" t="s">
        <v>3</v>
      </c>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31"/>
      <c r="AE16" s="6"/>
      <c r="AF16" s="12"/>
    </row>
    <row r="17" ht="15.75" customHeight="1">
      <c r="A17" s="6"/>
      <c r="B17" s="104" t="s">
        <v>6</v>
      </c>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31"/>
      <c r="AE17" s="6"/>
      <c r="AF17" s="12"/>
    </row>
    <row r="18" ht="15.0" customHeight="1">
      <c r="A18" s="6"/>
      <c r="B18" s="105">
        <v>1.0</v>
      </c>
      <c r="C18" s="106" t="str">
        <f>IF('INPUT DATA'!K11="","",'INPUT DATA'!K11)</f>
        <v/>
      </c>
      <c r="D18" s="107"/>
      <c r="E18" s="108"/>
      <c r="F18" s="109"/>
      <c r="G18" s="110"/>
      <c r="H18" s="110"/>
      <c r="I18" s="110"/>
      <c r="J18" s="111"/>
      <c r="K18" s="112" t="str">
        <f t="shared" ref="K18:K67" si="1">IF(COUNT($F18:$J18)=0,"",SUM($F18:$J18))</f>
        <v/>
      </c>
      <c r="L18" s="115" t="str">
        <f t="shared" ref="L18:L67" si="2">IF(COUNT(F18:J18)=0,"",IFERROR(K18/$K$15*$L$15,""))</f>
        <v/>
      </c>
      <c r="M18" s="116" t="str">
        <f t="shared" ref="M18:M67" si="3">IF(L18="","",L18*$M$15)</f>
        <v/>
      </c>
      <c r="N18" s="109"/>
      <c r="O18" s="110"/>
      <c r="P18" s="111"/>
      <c r="Q18" s="112" t="str">
        <f t="shared" ref="Q18:Q67" si="4">IF(COUNT(N18:P18)=0,"",SUM(N18:P18))</f>
        <v/>
      </c>
      <c r="R18" s="115" t="str">
        <f t="shared" ref="R18:R67" si="5">IF(COUNT(N18:P18)=0,"",IFERROR(Q18/$Q$15*$R$15,""))</f>
        <v/>
      </c>
      <c r="S18" s="116" t="str">
        <f t="shared" ref="S18:S67" si="6">IF(R18="","",R18*$S$15)</f>
        <v/>
      </c>
      <c r="T18" s="109"/>
      <c r="U18" s="110"/>
      <c r="V18" s="111"/>
      <c r="W18" s="117" t="str">
        <f t="shared" ref="W18:W67" si="7">IF(T18="","",IFERROR(T18/$T$15*$W$15,""))</f>
        <v/>
      </c>
      <c r="X18" s="118" t="str">
        <f t="shared" ref="X18:X67" si="8">IF(U18="","",IFERROR(U18/$U$15*$X$15,""))</f>
        <v/>
      </c>
      <c r="Y18" s="119" t="str">
        <f t="shared" ref="Y18:Y67" si="9">IF(V18="","",IFERROR(V18/$V$15*$Y$15,""))</f>
        <v/>
      </c>
      <c r="Z18" s="120" t="str">
        <f t="shared" ref="Z18:Z67" si="10">IF(COUNT(T18:V18)=0,"",SUM(W18:Y18))</f>
        <v/>
      </c>
      <c r="AA18" s="121" t="str">
        <f t="shared" ref="AA18:AA67" si="11">IF(Z18="","",Z18*$AA$15)</f>
        <v/>
      </c>
      <c r="AB18" s="122" t="str">
        <f t="shared" ref="AB18:AB67" si="12">IF(COUNT(F18:J18,N18:P18,T18:V18)=0,"",SUM(M18,S18,AA18))</f>
        <v/>
      </c>
      <c r="AC18" s="123" t="str">
        <f t="array" ref="AC18">IF(AB18="","",IFERROR(INDEX(HELPER!$D$8:$D$48,IF(AB18&gt;=HELPER!$B$8,1,MATCH(AB18,HELPER!$B$8:$B$48,-1)+1)),""))</f>
        <v/>
      </c>
      <c r="AD18" s="125" t="str">
        <f>IF(AC18="","",IFERROR(VLOOKUP(AC18,HELPER!$F$8:$G$48,2,FALSE),""))</f>
        <v/>
      </c>
      <c r="AE18" s="6"/>
      <c r="AF18" s="12"/>
    </row>
    <row r="19" ht="15.0" customHeight="1">
      <c r="A19" s="6"/>
      <c r="B19" s="126">
        <v>2.0</v>
      </c>
      <c r="C19" s="106" t="str">
        <f>IF('INPUT DATA'!K12="","",'INPUT DATA'!K12)</f>
        <v/>
      </c>
      <c r="D19" s="107"/>
      <c r="E19" s="108"/>
      <c r="F19" s="128"/>
      <c r="G19" s="129"/>
      <c r="H19" s="129"/>
      <c r="I19" s="129"/>
      <c r="J19" s="130"/>
      <c r="K19" s="132" t="str">
        <f t="shared" si="1"/>
        <v/>
      </c>
      <c r="L19" s="133" t="str">
        <f t="shared" si="2"/>
        <v/>
      </c>
      <c r="M19" s="134" t="str">
        <f t="shared" si="3"/>
        <v/>
      </c>
      <c r="N19" s="128"/>
      <c r="O19" s="129"/>
      <c r="P19" s="130"/>
      <c r="Q19" s="132" t="str">
        <f t="shared" si="4"/>
        <v/>
      </c>
      <c r="R19" s="133" t="str">
        <f t="shared" si="5"/>
        <v/>
      </c>
      <c r="S19" s="134" t="str">
        <f t="shared" si="6"/>
        <v/>
      </c>
      <c r="T19" s="128"/>
      <c r="U19" s="129"/>
      <c r="V19" s="130"/>
      <c r="W19" s="136" t="str">
        <f t="shared" si="7"/>
        <v/>
      </c>
      <c r="X19" s="133" t="str">
        <f t="shared" si="8"/>
        <v/>
      </c>
      <c r="Y19" s="134" t="str">
        <f t="shared" si="9"/>
        <v/>
      </c>
      <c r="Z19" s="137" t="str">
        <f t="shared" si="10"/>
        <v/>
      </c>
      <c r="AA19" s="138" t="str">
        <f t="shared" si="11"/>
        <v/>
      </c>
      <c r="AB19" s="139" t="str">
        <f t="shared" si="12"/>
        <v/>
      </c>
      <c r="AC19" s="140" t="str">
        <f t="array" ref="AC19">IF(AB19="","",IFERROR(INDEX(HELPER!$D$8:$D$48,IF(AB19&gt;=HELPER!$B$8,1,MATCH(AB19,HELPER!$B$8:$B$48,-1)+1)),""))</f>
        <v/>
      </c>
      <c r="AD19" s="141" t="str">
        <f>IF(AC19="","",IFERROR(VLOOKUP(AC19,HELPER!$F$8:$G$48,2,FALSE),""))</f>
        <v/>
      </c>
      <c r="AE19" s="6"/>
      <c r="AF19" s="12"/>
    </row>
    <row r="20" ht="15.0" customHeight="1">
      <c r="A20" s="6"/>
      <c r="B20" s="126">
        <v>3.0</v>
      </c>
      <c r="C20" s="106" t="str">
        <f>IF('INPUT DATA'!K13="","",'INPUT DATA'!K13)</f>
        <v/>
      </c>
      <c r="D20" s="107"/>
      <c r="E20" s="108"/>
      <c r="F20" s="128"/>
      <c r="G20" s="129"/>
      <c r="H20" s="129"/>
      <c r="I20" s="129"/>
      <c r="J20" s="130"/>
      <c r="K20" s="132" t="str">
        <f t="shared" si="1"/>
        <v/>
      </c>
      <c r="L20" s="133" t="str">
        <f t="shared" si="2"/>
        <v/>
      </c>
      <c r="M20" s="134" t="str">
        <f t="shared" si="3"/>
        <v/>
      </c>
      <c r="N20" s="128"/>
      <c r="O20" s="129"/>
      <c r="P20" s="130"/>
      <c r="Q20" s="132" t="str">
        <f t="shared" si="4"/>
        <v/>
      </c>
      <c r="R20" s="133" t="str">
        <f t="shared" si="5"/>
        <v/>
      </c>
      <c r="S20" s="134" t="str">
        <f t="shared" si="6"/>
        <v/>
      </c>
      <c r="T20" s="128"/>
      <c r="U20" s="129"/>
      <c r="V20" s="130"/>
      <c r="W20" s="136" t="str">
        <f t="shared" si="7"/>
        <v/>
      </c>
      <c r="X20" s="133" t="str">
        <f t="shared" si="8"/>
        <v/>
      </c>
      <c r="Y20" s="134" t="str">
        <f t="shared" si="9"/>
        <v/>
      </c>
      <c r="Z20" s="137" t="str">
        <f t="shared" si="10"/>
        <v/>
      </c>
      <c r="AA20" s="138" t="str">
        <f t="shared" si="11"/>
        <v/>
      </c>
      <c r="AB20" s="139" t="str">
        <f t="shared" si="12"/>
        <v/>
      </c>
      <c r="AC20" s="140" t="str">
        <f t="array" ref="AC20">IF(AB20="","",IFERROR(INDEX(HELPER!$D$8:$D$48,IF(AB20&gt;=HELPER!$B$8,1,MATCH(AB20,HELPER!$B$8:$B$48,-1)+1)),""))</f>
        <v/>
      </c>
      <c r="AD20" s="141" t="str">
        <f>IF(AC20="","",IFERROR(VLOOKUP(AC20,HELPER!$F$8:$G$48,2,FALSE),""))</f>
        <v/>
      </c>
      <c r="AE20" s="6"/>
      <c r="AF20" s="12"/>
    </row>
    <row r="21" ht="15.0" customHeight="1">
      <c r="A21" s="6"/>
      <c r="B21" s="126">
        <v>4.0</v>
      </c>
      <c r="C21" s="106" t="str">
        <f>IF('INPUT DATA'!K14="","",'INPUT DATA'!K14)</f>
        <v/>
      </c>
      <c r="D21" s="107"/>
      <c r="E21" s="108"/>
      <c r="F21" s="128"/>
      <c r="G21" s="129"/>
      <c r="H21" s="129"/>
      <c r="I21" s="129"/>
      <c r="J21" s="130"/>
      <c r="K21" s="132" t="str">
        <f t="shared" si="1"/>
        <v/>
      </c>
      <c r="L21" s="133" t="str">
        <f t="shared" si="2"/>
        <v/>
      </c>
      <c r="M21" s="134" t="str">
        <f t="shared" si="3"/>
        <v/>
      </c>
      <c r="N21" s="128"/>
      <c r="O21" s="129"/>
      <c r="P21" s="130"/>
      <c r="Q21" s="132" t="str">
        <f t="shared" si="4"/>
        <v/>
      </c>
      <c r="R21" s="133" t="str">
        <f t="shared" si="5"/>
        <v/>
      </c>
      <c r="S21" s="134" t="str">
        <f t="shared" si="6"/>
        <v/>
      </c>
      <c r="T21" s="128"/>
      <c r="U21" s="129"/>
      <c r="V21" s="130"/>
      <c r="W21" s="136" t="str">
        <f t="shared" si="7"/>
        <v/>
      </c>
      <c r="X21" s="133" t="str">
        <f t="shared" si="8"/>
        <v/>
      </c>
      <c r="Y21" s="134" t="str">
        <f t="shared" si="9"/>
        <v/>
      </c>
      <c r="Z21" s="137" t="str">
        <f t="shared" si="10"/>
        <v/>
      </c>
      <c r="AA21" s="138" t="str">
        <f t="shared" si="11"/>
        <v/>
      </c>
      <c r="AB21" s="139" t="str">
        <f t="shared" si="12"/>
        <v/>
      </c>
      <c r="AC21" s="140" t="str">
        <f t="array" ref="AC21">IF(AB21="","",IFERROR(INDEX(HELPER!$D$8:$D$48,IF(AB21&gt;=HELPER!$B$8,1,MATCH(AB21,HELPER!$B$8:$B$48,-1)+1)),""))</f>
        <v/>
      </c>
      <c r="AD21" s="141" t="str">
        <f>IF(AC21="","",IFERROR(VLOOKUP(AC21,HELPER!$F$8:$G$48,2,FALSE),""))</f>
        <v/>
      </c>
      <c r="AE21" s="6"/>
      <c r="AF21" s="12"/>
    </row>
    <row r="22" ht="15.0" customHeight="1">
      <c r="A22" s="6"/>
      <c r="B22" s="126">
        <v>5.0</v>
      </c>
      <c r="C22" s="145" t="str">
        <f>IF('INPUT DATA'!K15="","",'INPUT DATA'!K15)</f>
        <v/>
      </c>
      <c r="D22" s="107"/>
      <c r="E22" s="108"/>
      <c r="F22" s="128"/>
      <c r="G22" s="129"/>
      <c r="H22" s="129"/>
      <c r="I22" s="129"/>
      <c r="J22" s="130"/>
      <c r="K22" s="132" t="str">
        <f t="shared" si="1"/>
        <v/>
      </c>
      <c r="L22" s="133" t="str">
        <f t="shared" si="2"/>
        <v/>
      </c>
      <c r="M22" s="134" t="str">
        <f t="shared" si="3"/>
        <v/>
      </c>
      <c r="N22" s="128"/>
      <c r="O22" s="129"/>
      <c r="P22" s="130"/>
      <c r="Q22" s="132" t="str">
        <f t="shared" si="4"/>
        <v/>
      </c>
      <c r="R22" s="133" t="str">
        <f t="shared" si="5"/>
        <v/>
      </c>
      <c r="S22" s="134" t="str">
        <f t="shared" si="6"/>
        <v/>
      </c>
      <c r="T22" s="128"/>
      <c r="U22" s="129"/>
      <c r="V22" s="130"/>
      <c r="W22" s="136" t="str">
        <f t="shared" si="7"/>
        <v/>
      </c>
      <c r="X22" s="133" t="str">
        <f t="shared" si="8"/>
        <v/>
      </c>
      <c r="Y22" s="134" t="str">
        <f t="shared" si="9"/>
        <v/>
      </c>
      <c r="Z22" s="137" t="str">
        <f t="shared" si="10"/>
        <v/>
      </c>
      <c r="AA22" s="138" t="str">
        <f t="shared" si="11"/>
        <v/>
      </c>
      <c r="AB22" s="139" t="str">
        <f t="shared" si="12"/>
        <v/>
      </c>
      <c r="AC22" s="140" t="str">
        <f t="array" ref="AC22">IF(AB22="","",IFERROR(INDEX(HELPER!$D$8:$D$48,IF(AB22&gt;=HELPER!$B$8,1,MATCH(AB22,HELPER!$B$8:$B$48,-1)+1)),""))</f>
        <v/>
      </c>
      <c r="AD22" s="141" t="str">
        <f>IF(AC22="","",IFERROR(VLOOKUP(AC22,HELPER!$F$8:$G$48,2,FALSE),""))</f>
        <v/>
      </c>
      <c r="AE22" s="6"/>
      <c r="AF22" s="12"/>
    </row>
    <row r="23" ht="15.0" customHeight="1">
      <c r="A23" s="6"/>
      <c r="B23" s="126">
        <v>6.0</v>
      </c>
      <c r="C23" s="145" t="str">
        <f>IF('INPUT DATA'!K16="","",'INPUT DATA'!K16)</f>
        <v/>
      </c>
      <c r="D23" s="107"/>
      <c r="E23" s="108"/>
      <c r="F23" s="128"/>
      <c r="G23" s="129"/>
      <c r="H23" s="129"/>
      <c r="I23" s="129"/>
      <c r="J23" s="130"/>
      <c r="K23" s="132" t="str">
        <f t="shared" si="1"/>
        <v/>
      </c>
      <c r="L23" s="133" t="str">
        <f t="shared" si="2"/>
        <v/>
      </c>
      <c r="M23" s="134" t="str">
        <f t="shared" si="3"/>
        <v/>
      </c>
      <c r="N23" s="128"/>
      <c r="O23" s="129"/>
      <c r="P23" s="130"/>
      <c r="Q23" s="132" t="str">
        <f t="shared" si="4"/>
        <v/>
      </c>
      <c r="R23" s="133" t="str">
        <f t="shared" si="5"/>
        <v/>
      </c>
      <c r="S23" s="134" t="str">
        <f t="shared" si="6"/>
        <v/>
      </c>
      <c r="T23" s="128"/>
      <c r="U23" s="129"/>
      <c r="V23" s="130"/>
      <c r="W23" s="136" t="str">
        <f t="shared" si="7"/>
        <v/>
      </c>
      <c r="X23" s="133" t="str">
        <f t="shared" si="8"/>
        <v/>
      </c>
      <c r="Y23" s="134" t="str">
        <f t="shared" si="9"/>
        <v/>
      </c>
      <c r="Z23" s="137" t="str">
        <f t="shared" si="10"/>
        <v/>
      </c>
      <c r="AA23" s="138" t="str">
        <f t="shared" si="11"/>
        <v/>
      </c>
      <c r="AB23" s="139" t="str">
        <f t="shared" si="12"/>
        <v/>
      </c>
      <c r="AC23" s="140" t="str">
        <f t="array" ref="AC23">IF(AB23="","",IFERROR(INDEX(HELPER!$D$8:$D$48,IF(AB23&gt;=HELPER!$B$8,1,MATCH(AB23,HELPER!$B$8:$B$48,-1)+1)),""))</f>
        <v/>
      </c>
      <c r="AD23" s="141" t="str">
        <f>IF(AC23="","",IFERROR(VLOOKUP(AC23,HELPER!$F$8:$G$48,2,FALSE),""))</f>
        <v/>
      </c>
      <c r="AE23" s="6"/>
      <c r="AF23" s="12"/>
    </row>
    <row r="24" ht="15.0" customHeight="1">
      <c r="A24" s="6"/>
      <c r="B24" s="126">
        <v>7.0</v>
      </c>
      <c r="C24" s="145" t="str">
        <f>IF('INPUT DATA'!K17="","",'INPUT DATA'!K17)</f>
        <v/>
      </c>
      <c r="D24" s="107"/>
      <c r="E24" s="108"/>
      <c r="F24" s="128"/>
      <c r="G24" s="129"/>
      <c r="H24" s="129"/>
      <c r="I24" s="129"/>
      <c r="J24" s="130"/>
      <c r="K24" s="132" t="str">
        <f t="shared" si="1"/>
        <v/>
      </c>
      <c r="L24" s="133" t="str">
        <f t="shared" si="2"/>
        <v/>
      </c>
      <c r="M24" s="134" t="str">
        <f t="shared" si="3"/>
        <v/>
      </c>
      <c r="N24" s="128"/>
      <c r="O24" s="129"/>
      <c r="P24" s="130"/>
      <c r="Q24" s="132" t="str">
        <f t="shared" si="4"/>
        <v/>
      </c>
      <c r="R24" s="133" t="str">
        <f t="shared" si="5"/>
        <v/>
      </c>
      <c r="S24" s="134" t="str">
        <f t="shared" si="6"/>
        <v/>
      </c>
      <c r="T24" s="128"/>
      <c r="U24" s="129"/>
      <c r="V24" s="130"/>
      <c r="W24" s="136" t="str">
        <f t="shared" si="7"/>
        <v/>
      </c>
      <c r="X24" s="133" t="str">
        <f t="shared" si="8"/>
        <v/>
      </c>
      <c r="Y24" s="134" t="str">
        <f t="shared" si="9"/>
        <v/>
      </c>
      <c r="Z24" s="137" t="str">
        <f t="shared" si="10"/>
        <v/>
      </c>
      <c r="AA24" s="138" t="str">
        <f t="shared" si="11"/>
        <v/>
      </c>
      <c r="AB24" s="139" t="str">
        <f t="shared" si="12"/>
        <v/>
      </c>
      <c r="AC24" s="140" t="str">
        <f t="array" ref="AC24">IF(AB24="","",IFERROR(INDEX(HELPER!$D$8:$D$48,IF(AB24&gt;=HELPER!$B$8,1,MATCH(AB24,HELPER!$B$8:$B$48,-1)+1)),""))</f>
        <v/>
      </c>
      <c r="AD24" s="141" t="str">
        <f>IF(AC24="","",IFERROR(VLOOKUP(AC24,HELPER!$F$8:$G$48,2,FALSE),""))</f>
        <v/>
      </c>
      <c r="AE24" s="6"/>
      <c r="AF24" s="12"/>
    </row>
    <row r="25" ht="15.0" customHeight="1">
      <c r="A25" s="6"/>
      <c r="B25" s="126">
        <v>8.0</v>
      </c>
      <c r="C25" s="145" t="str">
        <f>IF('INPUT DATA'!K18="","",'INPUT DATA'!K18)</f>
        <v/>
      </c>
      <c r="D25" s="107"/>
      <c r="E25" s="108"/>
      <c r="F25" s="128"/>
      <c r="G25" s="129"/>
      <c r="H25" s="129"/>
      <c r="I25" s="129"/>
      <c r="J25" s="130"/>
      <c r="K25" s="132" t="str">
        <f t="shared" si="1"/>
        <v/>
      </c>
      <c r="L25" s="133" t="str">
        <f t="shared" si="2"/>
        <v/>
      </c>
      <c r="M25" s="134" t="str">
        <f t="shared" si="3"/>
        <v/>
      </c>
      <c r="N25" s="128"/>
      <c r="O25" s="129"/>
      <c r="P25" s="130"/>
      <c r="Q25" s="132" t="str">
        <f t="shared" si="4"/>
        <v/>
      </c>
      <c r="R25" s="133" t="str">
        <f t="shared" si="5"/>
        <v/>
      </c>
      <c r="S25" s="134" t="str">
        <f t="shared" si="6"/>
        <v/>
      </c>
      <c r="T25" s="128"/>
      <c r="U25" s="129"/>
      <c r="V25" s="130"/>
      <c r="W25" s="136" t="str">
        <f t="shared" si="7"/>
        <v/>
      </c>
      <c r="X25" s="133" t="str">
        <f t="shared" si="8"/>
        <v/>
      </c>
      <c r="Y25" s="134" t="str">
        <f t="shared" si="9"/>
        <v/>
      </c>
      <c r="Z25" s="137" t="str">
        <f t="shared" si="10"/>
        <v/>
      </c>
      <c r="AA25" s="138" t="str">
        <f t="shared" si="11"/>
        <v/>
      </c>
      <c r="AB25" s="139" t="str">
        <f t="shared" si="12"/>
        <v/>
      </c>
      <c r="AC25" s="140" t="str">
        <f t="array" ref="AC25">IF(AB25="","",IFERROR(INDEX(HELPER!$D$8:$D$48,IF(AB25&gt;=HELPER!$B$8,1,MATCH(AB25,HELPER!$B$8:$B$48,-1)+1)),""))</f>
        <v/>
      </c>
      <c r="AD25" s="141" t="str">
        <f>IF(AC25="","",IFERROR(VLOOKUP(AC25,HELPER!$F$8:$G$48,2,FALSE),""))</f>
        <v/>
      </c>
      <c r="AE25" s="6"/>
      <c r="AF25" s="12"/>
    </row>
    <row r="26" ht="15.0" customHeight="1">
      <c r="A26" s="6"/>
      <c r="B26" s="126">
        <v>9.0</v>
      </c>
      <c r="C26" s="145" t="str">
        <f>IF('INPUT DATA'!K19="","",'INPUT DATA'!K19)</f>
        <v/>
      </c>
      <c r="D26" s="107"/>
      <c r="E26" s="108"/>
      <c r="F26" s="128"/>
      <c r="G26" s="129"/>
      <c r="H26" s="129"/>
      <c r="I26" s="129"/>
      <c r="J26" s="130"/>
      <c r="K26" s="132" t="str">
        <f t="shared" si="1"/>
        <v/>
      </c>
      <c r="L26" s="133" t="str">
        <f t="shared" si="2"/>
        <v/>
      </c>
      <c r="M26" s="134" t="str">
        <f t="shared" si="3"/>
        <v/>
      </c>
      <c r="N26" s="128"/>
      <c r="O26" s="129"/>
      <c r="P26" s="130"/>
      <c r="Q26" s="132" t="str">
        <f t="shared" si="4"/>
        <v/>
      </c>
      <c r="R26" s="133" t="str">
        <f t="shared" si="5"/>
        <v/>
      </c>
      <c r="S26" s="134" t="str">
        <f t="shared" si="6"/>
        <v/>
      </c>
      <c r="T26" s="128"/>
      <c r="U26" s="129"/>
      <c r="V26" s="130"/>
      <c r="W26" s="136" t="str">
        <f t="shared" si="7"/>
        <v/>
      </c>
      <c r="X26" s="133" t="str">
        <f t="shared" si="8"/>
        <v/>
      </c>
      <c r="Y26" s="134" t="str">
        <f t="shared" si="9"/>
        <v/>
      </c>
      <c r="Z26" s="137" t="str">
        <f t="shared" si="10"/>
        <v/>
      </c>
      <c r="AA26" s="138" t="str">
        <f t="shared" si="11"/>
        <v/>
      </c>
      <c r="AB26" s="139" t="str">
        <f t="shared" si="12"/>
        <v/>
      </c>
      <c r="AC26" s="140" t="str">
        <f t="array" ref="AC26">IF(AB26="","",IFERROR(INDEX(HELPER!$D$8:$D$48,IF(AB26&gt;=HELPER!$B$8,1,MATCH(AB26,HELPER!$B$8:$B$48,-1)+1)),""))</f>
        <v/>
      </c>
      <c r="AD26" s="141" t="str">
        <f>IF(AC26="","",IFERROR(VLOOKUP(AC26,HELPER!$F$8:$G$48,2,FALSE),""))</f>
        <v/>
      </c>
      <c r="AE26" s="6"/>
      <c r="AF26" s="12"/>
    </row>
    <row r="27" ht="15.0" customHeight="1">
      <c r="A27" s="6"/>
      <c r="B27" s="126">
        <v>10.0</v>
      </c>
      <c r="C27" s="145" t="str">
        <f>IF('INPUT DATA'!K20="","",'INPUT DATA'!K20)</f>
        <v/>
      </c>
      <c r="D27" s="107"/>
      <c r="E27" s="108"/>
      <c r="F27" s="128"/>
      <c r="G27" s="129"/>
      <c r="H27" s="129"/>
      <c r="I27" s="129"/>
      <c r="J27" s="130"/>
      <c r="K27" s="132" t="str">
        <f t="shared" si="1"/>
        <v/>
      </c>
      <c r="L27" s="133" t="str">
        <f t="shared" si="2"/>
        <v/>
      </c>
      <c r="M27" s="134" t="str">
        <f t="shared" si="3"/>
        <v/>
      </c>
      <c r="N27" s="128"/>
      <c r="O27" s="129"/>
      <c r="P27" s="130"/>
      <c r="Q27" s="132" t="str">
        <f t="shared" si="4"/>
        <v/>
      </c>
      <c r="R27" s="133" t="str">
        <f t="shared" si="5"/>
        <v/>
      </c>
      <c r="S27" s="134" t="str">
        <f t="shared" si="6"/>
        <v/>
      </c>
      <c r="T27" s="128"/>
      <c r="U27" s="129"/>
      <c r="V27" s="130"/>
      <c r="W27" s="136" t="str">
        <f t="shared" si="7"/>
        <v/>
      </c>
      <c r="X27" s="133" t="str">
        <f t="shared" si="8"/>
        <v/>
      </c>
      <c r="Y27" s="134" t="str">
        <f t="shared" si="9"/>
        <v/>
      </c>
      <c r="Z27" s="137" t="str">
        <f t="shared" si="10"/>
        <v/>
      </c>
      <c r="AA27" s="138" t="str">
        <f t="shared" si="11"/>
        <v/>
      </c>
      <c r="AB27" s="139" t="str">
        <f t="shared" si="12"/>
        <v/>
      </c>
      <c r="AC27" s="140" t="str">
        <f t="array" ref="AC27">IF(AB27="","",IFERROR(INDEX(HELPER!$D$8:$D$48,IF(AB27&gt;=HELPER!$B$8,1,MATCH(AB27,HELPER!$B$8:$B$48,-1)+1)),""))</f>
        <v/>
      </c>
      <c r="AD27" s="141" t="str">
        <f>IF(AC27="","",IFERROR(VLOOKUP(AC27,HELPER!$F$8:$G$48,2,FALSE),""))</f>
        <v/>
      </c>
      <c r="AE27" s="6"/>
      <c r="AF27" s="12"/>
    </row>
    <row r="28" ht="15.0" customHeight="1">
      <c r="A28" s="6"/>
      <c r="B28" s="126">
        <v>11.0</v>
      </c>
      <c r="C28" s="145" t="str">
        <f>IF('INPUT DATA'!K21="","",'INPUT DATA'!K21)</f>
        <v/>
      </c>
      <c r="D28" s="107"/>
      <c r="E28" s="108"/>
      <c r="F28" s="128"/>
      <c r="G28" s="129"/>
      <c r="H28" s="129"/>
      <c r="I28" s="129"/>
      <c r="J28" s="130"/>
      <c r="K28" s="132" t="str">
        <f t="shared" si="1"/>
        <v/>
      </c>
      <c r="L28" s="133" t="str">
        <f t="shared" si="2"/>
        <v/>
      </c>
      <c r="M28" s="134" t="str">
        <f t="shared" si="3"/>
        <v/>
      </c>
      <c r="N28" s="128"/>
      <c r="O28" s="129"/>
      <c r="P28" s="130"/>
      <c r="Q28" s="132" t="str">
        <f t="shared" si="4"/>
        <v/>
      </c>
      <c r="R28" s="133" t="str">
        <f t="shared" si="5"/>
        <v/>
      </c>
      <c r="S28" s="134" t="str">
        <f t="shared" si="6"/>
        <v/>
      </c>
      <c r="T28" s="128"/>
      <c r="U28" s="129"/>
      <c r="V28" s="130"/>
      <c r="W28" s="136" t="str">
        <f t="shared" si="7"/>
        <v/>
      </c>
      <c r="X28" s="133" t="str">
        <f t="shared" si="8"/>
        <v/>
      </c>
      <c r="Y28" s="134" t="str">
        <f t="shared" si="9"/>
        <v/>
      </c>
      <c r="Z28" s="137" t="str">
        <f t="shared" si="10"/>
        <v/>
      </c>
      <c r="AA28" s="138" t="str">
        <f t="shared" si="11"/>
        <v/>
      </c>
      <c r="AB28" s="139" t="str">
        <f t="shared" si="12"/>
        <v/>
      </c>
      <c r="AC28" s="140" t="str">
        <f t="array" ref="AC28">IF(AB28="","",IFERROR(INDEX(HELPER!$D$8:$D$48,IF(AB28&gt;=HELPER!$B$8,1,MATCH(AB28,HELPER!$B$8:$B$48,-1)+1)),""))</f>
        <v/>
      </c>
      <c r="AD28" s="141" t="str">
        <f>IF(AC28="","",IFERROR(VLOOKUP(AC28,HELPER!$F$8:$G$48,2,FALSE),""))</f>
        <v/>
      </c>
      <c r="AE28" s="6"/>
      <c r="AF28" s="12"/>
    </row>
    <row r="29" ht="15.0" customHeight="1">
      <c r="A29" s="6"/>
      <c r="B29" s="126">
        <v>12.0</v>
      </c>
      <c r="C29" s="145" t="str">
        <f>IF('INPUT DATA'!K22="","",'INPUT DATA'!K22)</f>
        <v/>
      </c>
      <c r="D29" s="107"/>
      <c r="E29" s="108"/>
      <c r="F29" s="128"/>
      <c r="G29" s="129"/>
      <c r="H29" s="129"/>
      <c r="I29" s="129"/>
      <c r="J29" s="130"/>
      <c r="K29" s="132" t="str">
        <f t="shared" si="1"/>
        <v/>
      </c>
      <c r="L29" s="133" t="str">
        <f t="shared" si="2"/>
        <v/>
      </c>
      <c r="M29" s="134" t="str">
        <f t="shared" si="3"/>
        <v/>
      </c>
      <c r="N29" s="128"/>
      <c r="O29" s="129"/>
      <c r="P29" s="130"/>
      <c r="Q29" s="132" t="str">
        <f t="shared" si="4"/>
        <v/>
      </c>
      <c r="R29" s="133" t="str">
        <f t="shared" si="5"/>
        <v/>
      </c>
      <c r="S29" s="134" t="str">
        <f t="shared" si="6"/>
        <v/>
      </c>
      <c r="T29" s="128"/>
      <c r="U29" s="129"/>
      <c r="V29" s="130"/>
      <c r="W29" s="136" t="str">
        <f t="shared" si="7"/>
        <v/>
      </c>
      <c r="X29" s="133" t="str">
        <f t="shared" si="8"/>
        <v/>
      </c>
      <c r="Y29" s="134" t="str">
        <f t="shared" si="9"/>
        <v/>
      </c>
      <c r="Z29" s="137" t="str">
        <f t="shared" si="10"/>
        <v/>
      </c>
      <c r="AA29" s="138" t="str">
        <f t="shared" si="11"/>
        <v/>
      </c>
      <c r="AB29" s="139" t="str">
        <f t="shared" si="12"/>
        <v/>
      </c>
      <c r="AC29" s="140" t="str">
        <f t="array" ref="AC29">IF(AB29="","",IFERROR(INDEX(HELPER!$D$8:$D$48,IF(AB29&gt;=HELPER!$B$8,1,MATCH(AB29,HELPER!$B$8:$B$48,-1)+1)),""))</f>
        <v/>
      </c>
      <c r="AD29" s="141" t="str">
        <f>IF(AC29="","",IFERROR(VLOOKUP(AC29,HELPER!$F$8:$G$48,2,FALSE),""))</f>
        <v/>
      </c>
      <c r="AE29" s="6"/>
      <c r="AF29" s="12"/>
    </row>
    <row r="30" ht="15.0" customHeight="1">
      <c r="A30" s="6"/>
      <c r="B30" s="126">
        <v>13.0</v>
      </c>
      <c r="C30" s="145" t="str">
        <f>IF('INPUT DATA'!K23="","",'INPUT DATA'!K23)</f>
        <v/>
      </c>
      <c r="D30" s="107"/>
      <c r="E30" s="108"/>
      <c r="F30" s="128"/>
      <c r="G30" s="129"/>
      <c r="H30" s="129"/>
      <c r="I30" s="129"/>
      <c r="J30" s="130"/>
      <c r="K30" s="132" t="str">
        <f t="shared" si="1"/>
        <v/>
      </c>
      <c r="L30" s="133" t="str">
        <f t="shared" si="2"/>
        <v/>
      </c>
      <c r="M30" s="134" t="str">
        <f t="shared" si="3"/>
        <v/>
      </c>
      <c r="N30" s="128"/>
      <c r="O30" s="129"/>
      <c r="P30" s="130"/>
      <c r="Q30" s="132" t="str">
        <f t="shared" si="4"/>
        <v/>
      </c>
      <c r="R30" s="133" t="str">
        <f t="shared" si="5"/>
        <v/>
      </c>
      <c r="S30" s="134" t="str">
        <f t="shared" si="6"/>
        <v/>
      </c>
      <c r="T30" s="128"/>
      <c r="U30" s="129"/>
      <c r="V30" s="130"/>
      <c r="W30" s="136" t="str">
        <f t="shared" si="7"/>
        <v/>
      </c>
      <c r="X30" s="133" t="str">
        <f t="shared" si="8"/>
        <v/>
      </c>
      <c r="Y30" s="134" t="str">
        <f t="shared" si="9"/>
        <v/>
      </c>
      <c r="Z30" s="137" t="str">
        <f t="shared" si="10"/>
        <v/>
      </c>
      <c r="AA30" s="138" t="str">
        <f t="shared" si="11"/>
        <v/>
      </c>
      <c r="AB30" s="139" t="str">
        <f t="shared" si="12"/>
        <v/>
      </c>
      <c r="AC30" s="140" t="str">
        <f t="array" ref="AC30">IF(AB30="","",IFERROR(INDEX(HELPER!$D$8:$D$48,IF(AB30&gt;=HELPER!$B$8,1,MATCH(AB30,HELPER!$B$8:$B$48,-1)+1)),""))</f>
        <v/>
      </c>
      <c r="AD30" s="141" t="str">
        <f>IF(AC30="","",IFERROR(VLOOKUP(AC30,HELPER!$F$8:$G$48,2,FALSE),""))</f>
        <v/>
      </c>
      <c r="AE30" s="6"/>
      <c r="AF30" s="12"/>
    </row>
    <row r="31" ht="15.0" customHeight="1">
      <c r="A31" s="6"/>
      <c r="B31" s="126">
        <v>14.0</v>
      </c>
      <c r="C31" s="145" t="str">
        <f>IF('INPUT DATA'!K24="","",'INPUT DATA'!K24)</f>
        <v/>
      </c>
      <c r="D31" s="107"/>
      <c r="E31" s="108"/>
      <c r="F31" s="128"/>
      <c r="G31" s="129"/>
      <c r="H31" s="129"/>
      <c r="I31" s="129"/>
      <c r="J31" s="130"/>
      <c r="K31" s="132" t="str">
        <f t="shared" si="1"/>
        <v/>
      </c>
      <c r="L31" s="133" t="str">
        <f t="shared" si="2"/>
        <v/>
      </c>
      <c r="M31" s="134" t="str">
        <f t="shared" si="3"/>
        <v/>
      </c>
      <c r="N31" s="128"/>
      <c r="O31" s="129"/>
      <c r="P31" s="130"/>
      <c r="Q31" s="132" t="str">
        <f t="shared" si="4"/>
        <v/>
      </c>
      <c r="R31" s="133" t="str">
        <f t="shared" si="5"/>
        <v/>
      </c>
      <c r="S31" s="134" t="str">
        <f t="shared" si="6"/>
        <v/>
      </c>
      <c r="T31" s="128"/>
      <c r="U31" s="129"/>
      <c r="V31" s="130"/>
      <c r="W31" s="136" t="str">
        <f t="shared" si="7"/>
        <v/>
      </c>
      <c r="X31" s="133" t="str">
        <f t="shared" si="8"/>
        <v/>
      </c>
      <c r="Y31" s="134" t="str">
        <f t="shared" si="9"/>
        <v/>
      </c>
      <c r="Z31" s="137" t="str">
        <f t="shared" si="10"/>
        <v/>
      </c>
      <c r="AA31" s="138" t="str">
        <f t="shared" si="11"/>
        <v/>
      </c>
      <c r="AB31" s="139" t="str">
        <f t="shared" si="12"/>
        <v/>
      </c>
      <c r="AC31" s="140" t="str">
        <f t="array" ref="AC31">IF(AB31="","",IFERROR(INDEX(HELPER!$D$8:$D$48,IF(AB31&gt;=HELPER!$B$8,1,MATCH(AB31,HELPER!$B$8:$B$48,-1)+1)),""))</f>
        <v/>
      </c>
      <c r="AD31" s="141" t="str">
        <f>IF(AC31="","",IFERROR(VLOOKUP(AC31,HELPER!$F$8:$G$48,2,FALSE),""))</f>
        <v/>
      </c>
      <c r="AE31" s="6"/>
      <c r="AF31" s="12"/>
    </row>
    <row r="32" ht="15.0" customHeight="1">
      <c r="A32" s="6"/>
      <c r="B32" s="126">
        <v>15.0</v>
      </c>
      <c r="C32" s="145" t="str">
        <f>IF('INPUT DATA'!K25="","",'INPUT DATA'!K25)</f>
        <v/>
      </c>
      <c r="D32" s="107"/>
      <c r="E32" s="108"/>
      <c r="F32" s="128"/>
      <c r="G32" s="129"/>
      <c r="H32" s="129"/>
      <c r="I32" s="129"/>
      <c r="J32" s="130"/>
      <c r="K32" s="132" t="str">
        <f t="shared" si="1"/>
        <v/>
      </c>
      <c r="L32" s="133" t="str">
        <f t="shared" si="2"/>
        <v/>
      </c>
      <c r="M32" s="134" t="str">
        <f t="shared" si="3"/>
        <v/>
      </c>
      <c r="N32" s="128"/>
      <c r="O32" s="129"/>
      <c r="P32" s="130"/>
      <c r="Q32" s="132" t="str">
        <f t="shared" si="4"/>
        <v/>
      </c>
      <c r="R32" s="133" t="str">
        <f t="shared" si="5"/>
        <v/>
      </c>
      <c r="S32" s="134" t="str">
        <f t="shared" si="6"/>
        <v/>
      </c>
      <c r="T32" s="128"/>
      <c r="U32" s="129"/>
      <c r="V32" s="130"/>
      <c r="W32" s="136" t="str">
        <f t="shared" si="7"/>
        <v/>
      </c>
      <c r="X32" s="133" t="str">
        <f t="shared" si="8"/>
        <v/>
      </c>
      <c r="Y32" s="134" t="str">
        <f t="shared" si="9"/>
        <v/>
      </c>
      <c r="Z32" s="137" t="str">
        <f t="shared" si="10"/>
        <v/>
      </c>
      <c r="AA32" s="138" t="str">
        <f t="shared" si="11"/>
        <v/>
      </c>
      <c r="AB32" s="139" t="str">
        <f t="shared" si="12"/>
        <v/>
      </c>
      <c r="AC32" s="140" t="str">
        <f t="array" ref="AC32">IF(AB32="","",IFERROR(INDEX(HELPER!$D$8:$D$48,IF(AB32&gt;=HELPER!$B$8,1,MATCH(AB32,HELPER!$B$8:$B$48,-1)+1)),""))</f>
        <v/>
      </c>
      <c r="AD32" s="141" t="str">
        <f>IF(AC32="","",IFERROR(VLOOKUP(AC32,HELPER!$F$8:$G$48,2,FALSE),""))</f>
        <v/>
      </c>
      <c r="AE32" s="6"/>
      <c r="AF32" s="12"/>
    </row>
    <row r="33" ht="15.0" customHeight="1">
      <c r="A33" s="6"/>
      <c r="B33" s="126">
        <v>16.0</v>
      </c>
      <c r="C33" s="145" t="str">
        <f>IF('INPUT DATA'!K26="","",'INPUT DATA'!K26)</f>
        <v/>
      </c>
      <c r="D33" s="107"/>
      <c r="E33" s="108"/>
      <c r="F33" s="128"/>
      <c r="G33" s="129"/>
      <c r="H33" s="129"/>
      <c r="I33" s="129"/>
      <c r="J33" s="130"/>
      <c r="K33" s="132" t="str">
        <f t="shared" si="1"/>
        <v/>
      </c>
      <c r="L33" s="133" t="str">
        <f t="shared" si="2"/>
        <v/>
      </c>
      <c r="M33" s="134" t="str">
        <f t="shared" si="3"/>
        <v/>
      </c>
      <c r="N33" s="128"/>
      <c r="O33" s="129"/>
      <c r="P33" s="130"/>
      <c r="Q33" s="132" t="str">
        <f t="shared" si="4"/>
        <v/>
      </c>
      <c r="R33" s="133" t="str">
        <f t="shared" si="5"/>
        <v/>
      </c>
      <c r="S33" s="134" t="str">
        <f t="shared" si="6"/>
        <v/>
      </c>
      <c r="T33" s="128"/>
      <c r="U33" s="129"/>
      <c r="V33" s="130"/>
      <c r="W33" s="136" t="str">
        <f t="shared" si="7"/>
        <v/>
      </c>
      <c r="X33" s="133" t="str">
        <f t="shared" si="8"/>
        <v/>
      </c>
      <c r="Y33" s="134" t="str">
        <f t="shared" si="9"/>
        <v/>
      </c>
      <c r="Z33" s="137" t="str">
        <f t="shared" si="10"/>
        <v/>
      </c>
      <c r="AA33" s="138" t="str">
        <f t="shared" si="11"/>
        <v/>
      </c>
      <c r="AB33" s="139" t="str">
        <f t="shared" si="12"/>
        <v/>
      </c>
      <c r="AC33" s="140" t="str">
        <f t="array" ref="AC33">IF(AB33="","",IFERROR(INDEX(HELPER!$D$8:$D$48,IF(AB33&gt;=HELPER!$B$8,1,MATCH(AB33,HELPER!$B$8:$B$48,-1)+1)),""))</f>
        <v/>
      </c>
      <c r="AD33" s="141" t="str">
        <f>IF(AC33="","",IFERROR(VLOOKUP(AC33,HELPER!$F$8:$G$48,2,FALSE),""))</f>
        <v/>
      </c>
      <c r="AE33" s="6"/>
      <c r="AF33" s="12"/>
    </row>
    <row r="34" ht="15.0" customHeight="1">
      <c r="A34" s="6"/>
      <c r="B34" s="126">
        <v>17.0</v>
      </c>
      <c r="C34" s="145" t="str">
        <f>IF('INPUT DATA'!K27="","",'INPUT DATA'!K27)</f>
        <v/>
      </c>
      <c r="D34" s="107"/>
      <c r="E34" s="108"/>
      <c r="F34" s="128"/>
      <c r="G34" s="129"/>
      <c r="H34" s="129"/>
      <c r="I34" s="129"/>
      <c r="J34" s="130"/>
      <c r="K34" s="132" t="str">
        <f t="shared" si="1"/>
        <v/>
      </c>
      <c r="L34" s="133" t="str">
        <f t="shared" si="2"/>
        <v/>
      </c>
      <c r="M34" s="134" t="str">
        <f t="shared" si="3"/>
        <v/>
      </c>
      <c r="N34" s="128"/>
      <c r="O34" s="129"/>
      <c r="P34" s="130"/>
      <c r="Q34" s="132" t="str">
        <f t="shared" si="4"/>
        <v/>
      </c>
      <c r="R34" s="133" t="str">
        <f t="shared" si="5"/>
        <v/>
      </c>
      <c r="S34" s="134" t="str">
        <f t="shared" si="6"/>
        <v/>
      </c>
      <c r="T34" s="128"/>
      <c r="U34" s="129"/>
      <c r="V34" s="130"/>
      <c r="W34" s="136" t="str">
        <f t="shared" si="7"/>
        <v/>
      </c>
      <c r="X34" s="133" t="str">
        <f t="shared" si="8"/>
        <v/>
      </c>
      <c r="Y34" s="134" t="str">
        <f t="shared" si="9"/>
        <v/>
      </c>
      <c r="Z34" s="137" t="str">
        <f t="shared" si="10"/>
        <v/>
      </c>
      <c r="AA34" s="138" t="str">
        <f t="shared" si="11"/>
        <v/>
      </c>
      <c r="AB34" s="139" t="str">
        <f t="shared" si="12"/>
        <v/>
      </c>
      <c r="AC34" s="140" t="str">
        <f t="array" ref="AC34">IF(AB34="","",IFERROR(INDEX(HELPER!$D$8:$D$48,IF(AB34&gt;=HELPER!$B$8,1,MATCH(AB34,HELPER!$B$8:$B$48,-1)+1)),""))</f>
        <v/>
      </c>
      <c r="AD34" s="141" t="str">
        <f>IF(AC34="","",IFERROR(VLOOKUP(AC34,HELPER!$F$8:$G$48,2,FALSE),""))</f>
        <v/>
      </c>
      <c r="AE34" s="6"/>
      <c r="AF34" s="12"/>
    </row>
    <row r="35" ht="15.0" customHeight="1">
      <c r="A35" s="6"/>
      <c r="B35" s="126">
        <v>18.0</v>
      </c>
      <c r="C35" s="145" t="str">
        <f>IF('INPUT DATA'!K28="","",'INPUT DATA'!K28)</f>
        <v/>
      </c>
      <c r="D35" s="107"/>
      <c r="E35" s="108"/>
      <c r="F35" s="128"/>
      <c r="G35" s="129"/>
      <c r="H35" s="129"/>
      <c r="I35" s="129"/>
      <c r="J35" s="130"/>
      <c r="K35" s="132" t="str">
        <f t="shared" si="1"/>
        <v/>
      </c>
      <c r="L35" s="133" t="str">
        <f t="shared" si="2"/>
        <v/>
      </c>
      <c r="M35" s="134" t="str">
        <f t="shared" si="3"/>
        <v/>
      </c>
      <c r="N35" s="128"/>
      <c r="O35" s="129"/>
      <c r="P35" s="130"/>
      <c r="Q35" s="132" t="str">
        <f t="shared" si="4"/>
        <v/>
      </c>
      <c r="R35" s="133" t="str">
        <f t="shared" si="5"/>
        <v/>
      </c>
      <c r="S35" s="134" t="str">
        <f t="shared" si="6"/>
        <v/>
      </c>
      <c r="T35" s="128"/>
      <c r="U35" s="129"/>
      <c r="V35" s="130"/>
      <c r="W35" s="136" t="str">
        <f t="shared" si="7"/>
        <v/>
      </c>
      <c r="X35" s="133" t="str">
        <f t="shared" si="8"/>
        <v/>
      </c>
      <c r="Y35" s="134" t="str">
        <f t="shared" si="9"/>
        <v/>
      </c>
      <c r="Z35" s="137" t="str">
        <f t="shared" si="10"/>
        <v/>
      </c>
      <c r="AA35" s="138" t="str">
        <f t="shared" si="11"/>
        <v/>
      </c>
      <c r="AB35" s="139" t="str">
        <f t="shared" si="12"/>
        <v/>
      </c>
      <c r="AC35" s="140" t="str">
        <f t="array" ref="AC35">IF(AB35="","",IFERROR(INDEX(HELPER!$D$8:$D$48,IF(AB35&gt;=HELPER!$B$8,1,MATCH(AB35,HELPER!$B$8:$B$48,-1)+1)),""))</f>
        <v/>
      </c>
      <c r="AD35" s="141" t="str">
        <f>IF(AC35="","",IFERROR(VLOOKUP(AC35,HELPER!$F$8:$G$48,2,FALSE),""))</f>
        <v/>
      </c>
      <c r="AE35" s="6"/>
      <c r="AF35" s="12"/>
    </row>
    <row r="36" ht="15.0" customHeight="1">
      <c r="A36" s="6"/>
      <c r="B36" s="126">
        <v>19.0</v>
      </c>
      <c r="C36" s="145" t="str">
        <f>IF('INPUT DATA'!K29="","",'INPUT DATA'!K29)</f>
        <v/>
      </c>
      <c r="D36" s="107"/>
      <c r="E36" s="108"/>
      <c r="F36" s="128"/>
      <c r="G36" s="129"/>
      <c r="H36" s="129"/>
      <c r="I36" s="129"/>
      <c r="J36" s="130"/>
      <c r="K36" s="132" t="str">
        <f t="shared" si="1"/>
        <v/>
      </c>
      <c r="L36" s="133" t="str">
        <f t="shared" si="2"/>
        <v/>
      </c>
      <c r="M36" s="134" t="str">
        <f t="shared" si="3"/>
        <v/>
      </c>
      <c r="N36" s="128"/>
      <c r="O36" s="129"/>
      <c r="P36" s="130"/>
      <c r="Q36" s="132" t="str">
        <f t="shared" si="4"/>
        <v/>
      </c>
      <c r="R36" s="133" t="str">
        <f t="shared" si="5"/>
        <v/>
      </c>
      <c r="S36" s="134" t="str">
        <f t="shared" si="6"/>
        <v/>
      </c>
      <c r="T36" s="128"/>
      <c r="U36" s="129"/>
      <c r="V36" s="130"/>
      <c r="W36" s="136" t="str">
        <f t="shared" si="7"/>
        <v/>
      </c>
      <c r="X36" s="133" t="str">
        <f t="shared" si="8"/>
        <v/>
      </c>
      <c r="Y36" s="134" t="str">
        <f t="shared" si="9"/>
        <v/>
      </c>
      <c r="Z36" s="137" t="str">
        <f t="shared" si="10"/>
        <v/>
      </c>
      <c r="AA36" s="138" t="str">
        <f t="shared" si="11"/>
        <v/>
      </c>
      <c r="AB36" s="139" t="str">
        <f t="shared" si="12"/>
        <v/>
      </c>
      <c r="AC36" s="140" t="str">
        <f t="array" ref="AC36">IF(AB36="","",IFERROR(INDEX(HELPER!$D$8:$D$48,IF(AB36&gt;=HELPER!$B$8,1,MATCH(AB36,HELPER!$B$8:$B$48,-1)+1)),""))</f>
        <v/>
      </c>
      <c r="AD36" s="141" t="str">
        <f>IF(AC36="","",IFERROR(VLOOKUP(AC36,HELPER!$F$8:$G$48,2,FALSE),""))</f>
        <v/>
      </c>
      <c r="AE36" s="6"/>
      <c r="AF36" s="12"/>
    </row>
    <row r="37" ht="15.0" customHeight="1">
      <c r="A37" s="6"/>
      <c r="B37" s="168">
        <v>20.0</v>
      </c>
      <c r="C37" s="145" t="str">
        <f>IF('INPUT DATA'!K30="","",'INPUT DATA'!K30)</f>
        <v/>
      </c>
      <c r="D37" s="107"/>
      <c r="E37" s="108"/>
      <c r="F37" s="128"/>
      <c r="G37" s="129"/>
      <c r="H37" s="129"/>
      <c r="I37" s="129"/>
      <c r="J37" s="130"/>
      <c r="K37" s="132" t="str">
        <f t="shared" si="1"/>
        <v/>
      </c>
      <c r="L37" s="133" t="str">
        <f t="shared" si="2"/>
        <v/>
      </c>
      <c r="M37" s="134" t="str">
        <f t="shared" si="3"/>
        <v/>
      </c>
      <c r="N37" s="128"/>
      <c r="O37" s="129"/>
      <c r="P37" s="130"/>
      <c r="Q37" s="132" t="str">
        <f t="shared" si="4"/>
        <v/>
      </c>
      <c r="R37" s="133" t="str">
        <f t="shared" si="5"/>
        <v/>
      </c>
      <c r="S37" s="134" t="str">
        <f t="shared" si="6"/>
        <v/>
      </c>
      <c r="T37" s="128"/>
      <c r="U37" s="129"/>
      <c r="V37" s="130"/>
      <c r="W37" s="136" t="str">
        <f t="shared" si="7"/>
        <v/>
      </c>
      <c r="X37" s="133" t="str">
        <f t="shared" si="8"/>
        <v/>
      </c>
      <c r="Y37" s="134" t="str">
        <f t="shared" si="9"/>
        <v/>
      </c>
      <c r="Z37" s="137" t="str">
        <f t="shared" si="10"/>
        <v/>
      </c>
      <c r="AA37" s="138" t="str">
        <f t="shared" si="11"/>
        <v/>
      </c>
      <c r="AB37" s="139" t="str">
        <f t="shared" si="12"/>
        <v/>
      </c>
      <c r="AC37" s="140" t="str">
        <f t="array" ref="AC37">IF(AB37="","",IFERROR(INDEX(HELPER!$D$8:$D$48,IF(AB37&gt;=HELPER!$B$8,1,MATCH(AB37,HELPER!$B$8:$B$48,-1)+1)),""))</f>
        <v/>
      </c>
      <c r="AD37" s="141" t="str">
        <f>IF(AC37="","",IFERROR(VLOOKUP(AC37,HELPER!$F$8:$G$48,2,FALSE),""))</f>
        <v/>
      </c>
      <c r="AE37" s="6"/>
      <c r="AF37" s="12"/>
    </row>
    <row r="38" ht="15.0" customHeight="1">
      <c r="A38" s="6"/>
      <c r="B38" s="168">
        <v>21.0</v>
      </c>
      <c r="C38" s="145" t="str">
        <f>IF('INPUT DATA'!K31="","",'INPUT DATA'!K31)</f>
        <v/>
      </c>
      <c r="D38" s="107"/>
      <c r="E38" s="108"/>
      <c r="F38" s="128"/>
      <c r="G38" s="129"/>
      <c r="H38" s="129"/>
      <c r="I38" s="129"/>
      <c r="J38" s="130"/>
      <c r="K38" s="132" t="str">
        <f t="shared" si="1"/>
        <v/>
      </c>
      <c r="L38" s="133" t="str">
        <f t="shared" si="2"/>
        <v/>
      </c>
      <c r="M38" s="134" t="str">
        <f t="shared" si="3"/>
        <v/>
      </c>
      <c r="N38" s="128"/>
      <c r="O38" s="129"/>
      <c r="P38" s="130"/>
      <c r="Q38" s="132" t="str">
        <f t="shared" si="4"/>
        <v/>
      </c>
      <c r="R38" s="133" t="str">
        <f t="shared" si="5"/>
        <v/>
      </c>
      <c r="S38" s="134" t="str">
        <f t="shared" si="6"/>
        <v/>
      </c>
      <c r="T38" s="128"/>
      <c r="U38" s="129"/>
      <c r="V38" s="130"/>
      <c r="W38" s="136" t="str">
        <f t="shared" si="7"/>
        <v/>
      </c>
      <c r="X38" s="133" t="str">
        <f t="shared" si="8"/>
        <v/>
      </c>
      <c r="Y38" s="134" t="str">
        <f t="shared" si="9"/>
        <v/>
      </c>
      <c r="Z38" s="137" t="str">
        <f t="shared" si="10"/>
        <v/>
      </c>
      <c r="AA38" s="138" t="str">
        <f t="shared" si="11"/>
        <v/>
      </c>
      <c r="AB38" s="139" t="str">
        <f t="shared" si="12"/>
        <v/>
      </c>
      <c r="AC38" s="140" t="str">
        <f t="array" ref="AC38">IF(AB38="","",IFERROR(INDEX(HELPER!$D$8:$D$48,IF(AB38&gt;=HELPER!$B$8,1,MATCH(AB38,HELPER!$B$8:$B$48,-1)+1)),""))</f>
        <v/>
      </c>
      <c r="AD38" s="141" t="str">
        <f>IF(AC38="","",IFERROR(VLOOKUP(AC38,HELPER!$F$8:$G$48,2,FALSE),""))</f>
        <v/>
      </c>
      <c r="AE38" s="6"/>
      <c r="AF38" s="12"/>
    </row>
    <row r="39" ht="15.0" customHeight="1">
      <c r="A39" s="6"/>
      <c r="B39" s="168">
        <v>22.0</v>
      </c>
      <c r="C39" s="145" t="str">
        <f>IF('INPUT DATA'!K32="","",'INPUT DATA'!K32)</f>
        <v/>
      </c>
      <c r="D39" s="107"/>
      <c r="E39" s="108"/>
      <c r="F39" s="128"/>
      <c r="G39" s="129"/>
      <c r="H39" s="129"/>
      <c r="I39" s="129"/>
      <c r="J39" s="130"/>
      <c r="K39" s="132" t="str">
        <f t="shared" si="1"/>
        <v/>
      </c>
      <c r="L39" s="133" t="str">
        <f t="shared" si="2"/>
        <v/>
      </c>
      <c r="M39" s="134" t="str">
        <f t="shared" si="3"/>
        <v/>
      </c>
      <c r="N39" s="128"/>
      <c r="O39" s="129"/>
      <c r="P39" s="130"/>
      <c r="Q39" s="132" t="str">
        <f t="shared" si="4"/>
        <v/>
      </c>
      <c r="R39" s="133" t="str">
        <f t="shared" si="5"/>
        <v/>
      </c>
      <c r="S39" s="134" t="str">
        <f t="shared" si="6"/>
        <v/>
      </c>
      <c r="T39" s="128"/>
      <c r="U39" s="129"/>
      <c r="V39" s="130"/>
      <c r="W39" s="136" t="str">
        <f t="shared" si="7"/>
        <v/>
      </c>
      <c r="X39" s="133" t="str">
        <f t="shared" si="8"/>
        <v/>
      </c>
      <c r="Y39" s="134" t="str">
        <f t="shared" si="9"/>
        <v/>
      </c>
      <c r="Z39" s="137" t="str">
        <f t="shared" si="10"/>
        <v/>
      </c>
      <c r="AA39" s="138" t="str">
        <f t="shared" si="11"/>
        <v/>
      </c>
      <c r="AB39" s="139" t="str">
        <f t="shared" si="12"/>
        <v/>
      </c>
      <c r="AC39" s="140" t="str">
        <f t="array" ref="AC39">IF(AB39="","",IFERROR(INDEX(HELPER!$D$8:$D$48,IF(AB39&gt;=HELPER!$B$8,1,MATCH(AB39,HELPER!$B$8:$B$48,-1)+1)),""))</f>
        <v/>
      </c>
      <c r="AD39" s="141" t="str">
        <f>IF(AC39="","",IFERROR(VLOOKUP(AC39,HELPER!$F$8:$G$48,2,FALSE),""))</f>
        <v/>
      </c>
      <c r="AE39" s="6"/>
      <c r="AF39" s="12"/>
    </row>
    <row r="40" ht="15.0" customHeight="1">
      <c r="A40" s="6"/>
      <c r="B40" s="168">
        <v>23.0</v>
      </c>
      <c r="C40" s="145" t="str">
        <f>IF('INPUT DATA'!K33="","",'INPUT DATA'!K33)</f>
        <v/>
      </c>
      <c r="D40" s="107"/>
      <c r="E40" s="108"/>
      <c r="F40" s="128"/>
      <c r="G40" s="129"/>
      <c r="H40" s="129"/>
      <c r="I40" s="129"/>
      <c r="J40" s="130"/>
      <c r="K40" s="132" t="str">
        <f t="shared" si="1"/>
        <v/>
      </c>
      <c r="L40" s="133" t="str">
        <f t="shared" si="2"/>
        <v/>
      </c>
      <c r="M40" s="134" t="str">
        <f t="shared" si="3"/>
        <v/>
      </c>
      <c r="N40" s="128"/>
      <c r="O40" s="129"/>
      <c r="P40" s="130"/>
      <c r="Q40" s="132" t="str">
        <f t="shared" si="4"/>
        <v/>
      </c>
      <c r="R40" s="133" t="str">
        <f t="shared" si="5"/>
        <v/>
      </c>
      <c r="S40" s="134" t="str">
        <f t="shared" si="6"/>
        <v/>
      </c>
      <c r="T40" s="128"/>
      <c r="U40" s="129"/>
      <c r="V40" s="130"/>
      <c r="W40" s="136" t="str">
        <f t="shared" si="7"/>
        <v/>
      </c>
      <c r="X40" s="133" t="str">
        <f t="shared" si="8"/>
        <v/>
      </c>
      <c r="Y40" s="134" t="str">
        <f t="shared" si="9"/>
        <v/>
      </c>
      <c r="Z40" s="137" t="str">
        <f t="shared" si="10"/>
        <v/>
      </c>
      <c r="AA40" s="138" t="str">
        <f t="shared" si="11"/>
        <v/>
      </c>
      <c r="AB40" s="139" t="str">
        <f t="shared" si="12"/>
        <v/>
      </c>
      <c r="AC40" s="140" t="str">
        <f t="array" ref="AC40">IF(AB40="","",IFERROR(INDEX(HELPER!$D$8:$D$48,IF(AB40&gt;=HELPER!$B$8,1,MATCH(AB40,HELPER!$B$8:$B$48,-1)+1)),""))</f>
        <v/>
      </c>
      <c r="AD40" s="141" t="str">
        <f>IF(AC40="","",IFERROR(VLOOKUP(AC40,HELPER!$F$8:$G$48,2,FALSE),""))</f>
        <v/>
      </c>
      <c r="AE40" s="6"/>
      <c r="AF40" s="12"/>
    </row>
    <row r="41" ht="15.0" customHeight="1">
      <c r="A41" s="6"/>
      <c r="B41" s="168">
        <v>24.0</v>
      </c>
      <c r="C41" s="145" t="str">
        <f>IF('INPUT DATA'!K34="","",'INPUT DATA'!K34)</f>
        <v/>
      </c>
      <c r="D41" s="107"/>
      <c r="E41" s="108"/>
      <c r="F41" s="128"/>
      <c r="G41" s="129"/>
      <c r="H41" s="129"/>
      <c r="I41" s="129"/>
      <c r="J41" s="130"/>
      <c r="K41" s="132" t="str">
        <f t="shared" si="1"/>
        <v/>
      </c>
      <c r="L41" s="133" t="str">
        <f t="shared" si="2"/>
        <v/>
      </c>
      <c r="M41" s="134" t="str">
        <f t="shared" si="3"/>
        <v/>
      </c>
      <c r="N41" s="128"/>
      <c r="O41" s="129"/>
      <c r="P41" s="130"/>
      <c r="Q41" s="132" t="str">
        <f t="shared" si="4"/>
        <v/>
      </c>
      <c r="R41" s="133" t="str">
        <f t="shared" si="5"/>
        <v/>
      </c>
      <c r="S41" s="134" t="str">
        <f t="shared" si="6"/>
        <v/>
      </c>
      <c r="T41" s="128"/>
      <c r="U41" s="129"/>
      <c r="V41" s="130"/>
      <c r="W41" s="136" t="str">
        <f t="shared" si="7"/>
        <v/>
      </c>
      <c r="X41" s="133" t="str">
        <f t="shared" si="8"/>
        <v/>
      </c>
      <c r="Y41" s="134" t="str">
        <f t="shared" si="9"/>
        <v/>
      </c>
      <c r="Z41" s="137" t="str">
        <f t="shared" si="10"/>
        <v/>
      </c>
      <c r="AA41" s="138" t="str">
        <f t="shared" si="11"/>
        <v/>
      </c>
      <c r="AB41" s="139" t="str">
        <f t="shared" si="12"/>
        <v/>
      </c>
      <c r="AC41" s="140" t="str">
        <f t="array" ref="AC41">IF(AB41="","",IFERROR(INDEX(HELPER!$D$8:$D$48,IF(AB41&gt;=HELPER!$B$8,1,MATCH(AB41,HELPER!$B$8:$B$48,-1)+1)),""))</f>
        <v/>
      </c>
      <c r="AD41" s="141" t="str">
        <f>IF(AC41="","",IFERROR(VLOOKUP(AC41,HELPER!$F$8:$G$48,2,FALSE),""))</f>
        <v/>
      </c>
      <c r="AE41" s="6"/>
      <c r="AF41" s="12"/>
    </row>
    <row r="42" ht="15.0" customHeight="1">
      <c r="A42" s="6"/>
      <c r="B42" s="168">
        <v>25.0</v>
      </c>
      <c r="C42" s="145" t="str">
        <f>IF('INPUT DATA'!K35="","",'INPUT DATA'!K35)</f>
        <v/>
      </c>
      <c r="D42" s="107"/>
      <c r="E42" s="108"/>
      <c r="F42" s="128"/>
      <c r="G42" s="129"/>
      <c r="H42" s="129"/>
      <c r="I42" s="129"/>
      <c r="J42" s="130"/>
      <c r="K42" s="132" t="str">
        <f t="shared" si="1"/>
        <v/>
      </c>
      <c r="L42" s="133" t="str">
        <f t="shared" si="2"/>
        <v/>
      </c>
      <c r="M42" s="134" t="str">
        <f t="shared" si="3"/>
        <v/>
      </c>
      <c r="N42" s="128"/>
      <c r="O42" s="129"/>
      <c r="P42" s="130"/>
      <c r="Q42" s="132" t="str">
        <f t="shared" si="4"/>
        <v/>
      </c>
      <c r="R42" s="133" t="str">
        <f t="shared" si="5"/>
        <v/>
      </c>
      <c r="S42" s="134" t="str">
        <f t="shared" si="6"/>
        <v/>
      </c>
      <c r="T42" s="128"/>
      <c r="U42" s="129"/>
      <c r="V42" s="130"/>
      <c r="W42" s="136" t="str">
        <f t="shared" si="7"/>
        <v/>
      </c>
      <c r="X42" s="133" t="str">
        <f t="shared" si="8"/>
        <v/>
      </c>
      <c r="Y42" s="134" t="str">
        <f t="shared" si="9"/>
        <v/>
      </c>
      <c r="Z42" s="137" t="str">
        <f t="shared" si="10"/>
        <v/>
      </c>
      <c r="AA42" s="138" t="str">
        <f t="shared" si="11"/>
        <v/>
      </c>
      <c r="AB42" s="139" t="str">
        <f t="shared" si="12"/>
        <v/>
      </c>
      <c r="AC42" s="140" t="str">
        <f t="array" ref="AC42">IF(AB42="","",IFERROR(INDEX(HELPER!$D$8:$D$48,IF(AB42&gt;=HELPER!$B$8,1,MATCH(AB42,HELPER!$B$8:$B$48,-1)+1)),""))</f>
        <v/>
      </c>
      <c r="AD42" s="141" t="str">
        <f>IF(AC42="","",IFERROR(VLOOKUP(AC42,HELPER!$F$8:$G$48,2,FALSE),""))</f>
        <v/>
      </c>
      <c r="AE42" s="6"/>
      <c r="AF42" s="12"/>
    </row>
    <row r="43" ht="15.0" customHeight="1">
      <c r="A43" s="6"/>
      <c r="B43" s="168">
        <v>26.0</v>
      </c>
      <c r="C43" s="145" t="str">
        <f>IF('INPUT DATA'!K36="","",'INPUT DATA'!K36)</f>
        <v/>
      </c>
      <c r="D43" s="107"/>
      <c r="E43" s="108"/>
      <c r="F43" s="128"/>
      <c r="G43" s="129"/>
      <c r="H43" s="129"/>
      <c r="I43" s="129"/>
      <c r="J43" s="130"/>
      <c r="K43" s="132" t="str">
        <f t="shared" si="1"/>
        <v/>
      </c>
      <c r="L43" s="133" t="str">
        <f t="shared" si="2"/>
        <v/>
      </c>
      <c r="M43" s="134" t="str">
        <f t="shared" si="3"/>
        <v/>
      </c>
      <c r="N43" s="128"/>
      <c r="O43" s="129"/>
      <c r="P43" s="130"/>
      <c r="Q43" s="132" t="str">
        <f t="shared" si="4"/>
        <v/>
      </c>
      <c r="R43" s="133" t="str">
        <f t="shared" si="5"/>
        <v/>
      </c>
      <c r="S43" s="134" t="str">
        <f t="shared" si="6"/>
        <v/>
      </c>
      <c r="T43" s="128"/>
      <c r="U43" s="129"/>
      <c r="V43" s="130"/>
      <c r="W43" s="136" t="str">
        <f t="shared" si="7"/>
        <v/>
      </c>
      <c r="X43" s="133" t="str">
        <f t="shared" si="8"/>
        <v/>
      </c>
      <c r="Y43" s="134" t="str">
        <f t="shared" si="9"/>
        <v/>
      </c>
      <c r="Z43" s="137" t="str">
        <f t="shared" si="10"/>
        <v/>
      </c>
      <c r="AA43" s="138" t="str">
        <f t="shared" si="11"/>
        <v/>
      </c>
      <c r="AB43" s="139" t="str">
        <f t="shared" si="12"/>
        <v/>
      </c>
      <c r="AC43" s="140" t="str">
        <f t="array" ref="AC43">IF(AB43="","",IFERROR(INDEX(HELPER!$D$8:$D$48,IF(AB43&gt;=HELPER!$B$8,1,MATCH(AB43,HELPER!$B$8:$B$48,-1)+1)),""))</f>
        <v/>
      </c>
      <c r="AD43" s="141" t="str">
        <f>IF(AC43="","",IFERROR(VLOOKUP(AC43,HELPER!$F$8:$G$48,2,FALSE),""))</f>
        <v/>
      </c>
      <c r="AE43" s="6"/>
      <c r="AF43" s="12"/>
    </row>
    <row r="44" ht="15.0" customHeight="1">
      <c r="A44" s="6"/>
      <c r="B44" s="168">
        <v>27.0</v>
      </c>
      <c r="C44" s="145" t="str">
        <f>IF('INPUT DATA'!K37="","",'INPUT DATA'!K37)</f>
        <v/>
      </c>
      <c r="D44" s="107"/>
      <c r="E44" s="108"/>
      <c r="F44" s="128"/>
      <c r="G44" s="129"/>
      <c r="H44" s="129"/>
      <c r="I44" s="129"/>
      <c r="J44" s="130"/>
      <c r="K44" s="132" t="str">
        <f t="shared" si="1"/>
        <v/>
      </c>
      <c r="L44" s="133" t="str">
        <f t="shared" si="2"/>
        <v/>
      </c>
      <c r="M44" s="134" t="str">
        <f t="shared" si="3"/>
        <v/>
      </c>
      <c r="N44" s="128"/>
      <c r="O44" s="129"/>
      <c r="P44" s="130"/>
      <c r="Q44" s="132" t="str">
        <f t="shared" si="4"/>
        <v/>
      </c>
      <c r="R44" s="133" t="str">
        <f t="shared" si="5"/>
        <v/>
      </c>
      <c r="S44" s="134" t="str">
        <f t="shared" si="6"/>
        <v/>
      </c>
      <c r="T44" s="128"/>
      <c r="U44" s="129"/>
      <c r="V44" s="130"/>
      <c r="W44" s="136" t="str">
        <f t="shared" si="7"/>
        <v/>
      </c>
      <c r="X44" s="133" t="str">
        <f t="shared" si="8"/>
        <v/>
      </c>
      <c r="Y44" s="134" t="str">
        <f t="shared" si="9"/>
        <v/>
      </c>
      <c r="Z44" s="137" t="str">
        <f t="shared" si="10"/>
        <v/>
      </c>
      <c r="AA44" s="138" t="str">
        <f t="shared" si="11"/>
        <v/>
      </c>
      <c r="AB44" s="139" t="str">
        <f t="shared" si="12"/>
        <v/>
      </c>
      <c r="AC44" s="140" t="str">
        <f t="array" ref="AC44">IF(AB44="","",IFERROR(INDEX(HELPER!$D$8:$D$48,IF(AB44&gt;=HELPER!$B$8,1,MATCH(AB44,HELPER!$B$8:$B$48,-1)+1)),""))</f>
        <v/>
      </c>
      <c r="AD44" s="141" t="str">
        <f>IF(AC44="","",IFERROR(VLOOKUP(AC44,HELPER!$F$8:$G$48,2,FALSE),""))</f>
        <v/>
      </c>
      <c r="AE44" s="6"/>
      <c r="AF44" s="12"/>
    </row>
    <row r="45" ht="15.0" customHeight="1">
      <c r="A45" s="6"/>
      <c r="B45" s="168">
        <v>28.0</v>
      </c>
      <c r="C45" s="145" t="str">
        <f>IF('INPUT DATA'!K38="","",'INPUT DATA'!K38)</f>
        <v/>
      </c>
      <c r="D45" s="107"/>
      <c r="E45" s="108"/>
      <c r="F45" s="128"/>
      <c r="G45" s="129"/>
      <c r="H45" s="129"/>
      <c r="I45" s="129"/>
      <c r="J45" s="130"/>
      <c r="K45" s="132" t="str">
        <f t="shared" si="1"/>
        <v/>
      </c>
      <c r="L45" s="133" t="str">
        <f t="shared" si="2"/>
        <v/>
      </c>
      <c r="M45" s="134" t="str">
        <f t="shared" si="3"/>
        <v/>
      </c>
      <c r="N45" s="128"/>
      <c r="O45" s="129"/>
      <c r="P45" s="130"/>
      <c r="Q45" s="132" t="str">
        <f t="shared" si="4"/>
        <v/>
      </c>
      <c r="R45" s="133" t="str">
        <f t="shared" si="5"/>
        <v/>
      </c>
      <c r="S45" s="134" t="str">
        <f t="shared" si="6"/>
        <v/>
      </c>
      <c r="T45" s="128"/>
      <c r="U45" s="129"/>
      <c r="V45" s="130"/>
      <c r="W45" s="136" t="str">
        <f t="shared" si="7"/>
        <v/>
      </c>
      <c r="X45" s="133" t="str">
        <f t="shared" si="8"/>
        <v/>
      </c>
      <c r="Y45" s="134" t="str">
        <f t="shared" si="9"/>
        <v/>
      </c>
      <c r="Z45" s="137" t="str">
        <f t="shared" si="10"/>
        <v/>
      </c>
      <c r="AA45" s="138" t="str">
        <f t="shared" si="11"/>
        <v/>
      </c>
      <c r="AB45" s="139" t="str">
        <f t="shared" si="12"/>
        <v/>
      </c>
      <c r="AC45" s="140" t="str">
        <f t="array" ref="AC45">IF(AB45="","",IFERROR(INDEX(HELPER!$D$8:$D$48,IF(AB45&gt;=HELPER!$B$8,1,MATCH(AB45,HELPER!$B$8:$B$48,-1)+1)),""))</f>
        <v/>
      </c>
      <c r="AD45" s="141" t="str">
        <f>IF(AC45="","",IFERROR(VLOOKUP(AC45,HELPER!$F$8:$G$48,2,FALSE),""))</f>
        <v/>
      </c>
      <c r="AE45" s="6"/>
      <c r="AF45" s="12"/>
    </row>
    <row r="46" ht="15.0" customHeight="1">
      <c r="A46" s="6"/>
      <c r="B46" s="168">
        <v>29.0</v>
      </c>
      <c r="C46" s="145" t="str">
        <f>IF('INPUT DATA'!K39="","",'INPUT DATA'!K39)</f>
        <v/>
      </c>
      <c r="D46" s="107"/>
      <c r="E46" s="108"/>
      <c r="F46" s="128"/>
      <c r="G46" s="129"/>
      <c r="H46" s="129"/>
      <c r="I46" s="129"/>
      <c r="J46" s="130"/>
      <c r="K46" s="132" t="str">
        <f t="shared" si="1"/>
        <v/>
      </c>
      <c r="L46" s="133" t="str">
        <f t="shared" si="2"/>
        <v/>
      </c>
      <c r="M46" s="134" t="str">
        <f t="shared" si="3"/>
        <v/>
      </c>
      <c r="N46" s="128"/>
      <c r="O46" s="129"/>
      <c r="P46" s="130"/>
      <c r="Q46" s="132" t="str">
        <f t="shared" si="4"/>
        <v/>
      </c>
      <c r="R46" s="133" t="str">
        <f t="shared" si="5"/>
        <v/>
      </c>
      <c r="S46" s="134" t="str">
        <f t="shared" si="6"/>
        <v/>
      </c>
      <c r="T46" s="128"/>
      <c r="U46" s="129"/>
      <c r="V46" s="130"/>
      <c r="W46" s="136" t="str">
        <f t="shared" si="7"/>
        <v/>
      </c>
      <c r="X46" s="133" t="str">
        <f t="shared" si="8"/>
        <v/>
      </c>
      <c r="Y46" s="134" t="str">
        <f t="shared" si="9"/>
        <v/>
      </c>
      <c r="Z46" s="137" t="str">
        <f t="shared" si="10"/>
        <v/>
      </c>
      <c r="AA46" s="138" t="str">
        <f t="shared" si="11"/>
        <v/>
      </c>
      <c r="AB46" s="139" t="str">
        <f t="shared" si="12"/>
        <v/>
      </c>
      <c r="AC46" s="140" t="str">
        <f t="array" ref="AC46">IF(AB46="","",IFERROR(INDEX(HELPER!$D$8:$D$48,IF(AB46&gt;=HELPER!$B$8,1,MATCH(AB46,HELPER!$B$8:$B$48,-1)+1)),""))</f>
        <v/>
      </c>
      <c r="AD46" s="141" t="str">
        <f>IF(AC46="","",IFERROR(VLOOKUP(AC46,HELPER!$F$8:$G$48,2,FALSE),""))</f>
        <v/>
      </c>
      <c r="AE46" s="6"/>
      <c r="AF46" s="12"/>
    </row>
    <row r="47" ht="15.0" customHeight="1">
      <c r="A47" s="6"/>
      <c r="B47" s="168">
        <v>30.0</v>
      </c>
      <c r="C47" s="145" t="str">
        <f>IF('INPUT DATA'!K40="","",'INPUT DATA'!K40)</f>
        <v/>
      </c>
      <c r="D47" s="107"/>
      <c r="E47" s="108"/>
      <c r="F47" s="128"/>
      <c r="G47" s="129"/>
      <c r="H47" s="129"/>
      <c r="I47" s="129"/>
      <c r="J47" s="130"/>
      <c r="K47" s="132" t="str">
        <f t="shared" si="1"/>
        <v/>
      </c>
      <c r="L47" s="133" t="str">
        <f t="shared" si="2"/>
        <v/>
      </c>
      <c r="M47" s="134" t="str">
        <f t="shared" si="3"/>
        <v/>
      </c>
      <c r="N47" s="128"/>
      <c r="O47" s="129"/>
      <c r="P47" s="130"/>
      <c r="Q47" s="132" t="str">
        <f t="shared" si="4"/>
        <v/>
      </c>
      <c r="R47" s="133" t="str">
        <f t="shared" si="5"/>
        <v/>
      </c>
      <c r="S47" s="134" t="str">
        <f t="shared" si="6"/>
        <v/>
      </c>
      <c r="T47" s="128"/>
      <c r="U47" s="129"/>
      <c r="V47" s="130"/>
      <c r="W47" s="136" t="str">
        <f t="shared" si="7"/>
        <v/>
      </c>
      <c r="X47" s="133" t="str">
        <f t="shared" si="8"/>
        <v/>
      </c>
      <c r="Y47" s="134" t="str">
        <f t="shared" si="9"/>
        <v/>
      </c>
      <c r="Z47" s="137" t="str">
        <f t="shared" si="10"/>
        <v/>
      </c>
      <c r="AA47" s="138" t="str">
        <f t="shared" si="11"/>
        <v/>
      </c>
      <c r="AB47" s="139" t="str">
        <f t="shared" si="12"/>
        <v/>
      </c>
      <c r="AC47" s="140" t="str">
        <f t="array" ref="AC47">IF(AB47="","",IFERROR(INDEX(HELPER!$D$8:$D$48,IF(AB47&gt;=HELPER!$B$8,1,MATCH(AB47,HELPER!$B$8:$B$48,-1)+1)),""))</f>
        <v/>
      </c>
      <c r="AD47" s="141" t="str">
        <f>IF(AC47="","",IFERROR(VLOOKUP(AC47,HELPER!$F$8:$G$48,2,FALSE),""))</f>
        <v/>
      </c>
      <c r="AE47" s="6"/>
      <c r="AF47" s="12"/>
    </row>
    <row r="48" ht="15.0" customHeight="1">
      <c r="A48" s="6"/>
      <c r="B48" s="168">
        <v>31.0</v>
      </c>
      <c r="C48" s="145" t="str">
        <f>IF('INPUT DATA'!K41="","",'INPUT DATA'!K41)</f>
        <v/>
      </c>
      <c r="D48" s="107"/>
      <c r="E48" s="108"/>
      <c r="F48" s="128"/>
      <c r="G48" s="129"/>
      <c r="H48" s="129"/>
      <c r="I48" s="129"/>
      <c r="J48" s="130"/>
      <c r="K48" s="132" t="str">
        <f t="shared" si="1"/>
        <v/>
      </c>
      <c r="L48" s="133" t="str">
        <f t="shared" si="2"/>
        <v/>
      </c>
      <c r="M48" s="134" t="str">
        <f t="shared" si="3"/>
        <v/>
      </c>
      <c r="N48" s="128"/>
      <c r="O48" s="129"/>
      <c r="P48" s="130"/>
      <c r="Q48" s="132" t="str">
        <f t="shared" si="4"/>
        <v/>
      </c>
      <c r="R48" s="133" t="str">
        <f t="shared" si="5"/>
        <v/>
      </c>
      <c r="S48" s="134" t="str">
        <f t="shared" si="6"/>
        <v/>
      </c>
      <c r="T48" s="128"/>
      <c r="U48" s="129"/>
      <c r="V48" s="130"/>
      <c r="W48" s="136" t="str">
        <f t="shared" si="7"/>
        <v/>
      </c>
      <c r="X48" s="133" t="str">
        <f t="shared" si="8"/>
        <v/>
      </c>
      <c r="Y48" s="134" t="str">
        <f t="shared" si="9"/>
        <v/>
      </c>
      <c r="Z48" s="137" t="str">
        <f t="shared" si="10"/>
        <v/>
      </c>
      <c r="AA48" s="138" t="str">
        <f t="shared" si="11"/>
        <v/>
      </c>
      <c r="AB48" s="139" t="str">
        <f t="shared" si="12"/>
        <v/>
      </c>
      <c r="AC48" s="140" t="str">
        <f t="array" ref="AC48">IF(AB48="","",IFERROR(INDEX(HELPER!$D$8:$D$48,IF(AB48&gt;=HELPER!$B$8,1,MATCH(AB48,HELPER!$B$8:$B$48,-1)+1)),""))</f>
        <v/>
      </c>
      <c r="AD48" s="141" t="str">
        <f>IF(AC48="","",IFERROR(VLOOKUP(AC48,HELPER!$F$8:$G$48,2,FALSE),""))</f>
        <v/>
      </c>
      <c r="AE48" s="6"/>
      <c r="AF48" s="12"/>
    </row>
    <row r="49" ht="15.0" customHeight="1">
      <c r="A49" s="6"/>
      <c r="B49" s="168">
        <v>32.0</v>
      </c>
      <c r="C49" s="145" t="str">
        <f>IF('INPUT DATA'!K42="","",'INPUT DATA'!K42)</f>
        <v/>
      </c>
      <c r="D49" s="107"/>
      <c r="E49" s="108"/>
      <c r="F49" s="128"/>
      <c r="G49" s="129"/>
      <c r="H49" s="129"/>
      <c r="I49" s="129"/>
      <c r="J49" s="130"/>
      <c r="K49" s="132" t="str">
        <f t="shared" si="1"/>
        <v/>
      </c>
      <c r="L49" s="133" t="str">
        <f t="shared" si="2"/>
        <v/>
      </c>
      <c r="M49" s="134" t="str">
        <f t="shared" si="3"/>
        <v/>
      </c>
      <c r="N49" s="128"/>
      <c r="O49" s="129"/>
      <c r="P49" s="130"/>
      <c r="Q49" s="132" t="str">
        <f t="shared" si="4"/>
        <v/>
      </c>
      <c r="R49" s="133" t="str">
        <f t="shared" si="5"/>
        <v/>
      </c>
      <c r="S49" s="134" t="str">
        <f t="shared" si="6"/>
        <v/>
      </c>
      <c r="T49" s="128"/>
      <c r="U49" s="129"/>
      <c r="V49" s="130"/>
      <c r="W49" s="136" t="str">
        <f t="shared" si="7"/>
        <v/>
      </c>
      <c r="X49" s="133" t="str">
        <f t="shared" si="8"/>
        <v/>
      </c>
      <c r="Y49" s="134" t="str">
        <f t="shared" si="9"/>
        <v/>
      </c>
      <c r="Z49" s="137" t="str">
        <f t="shared" si="10"/>
        <v/>
      </c>
      <c r="AA49" s="138" t="str">
        <f t="shared" si="11"/>
        <v/>
      </c>
      <c r="AB49" s="139" t="str">
        <f t="shared" si="12"/>
        <v/>
      </c>
      <c r="AC49" s="140" t="str">
        <f t="array" ref="AC49">IF(AB49="","",IFERROR(INDEX(HELPER!$D$8:$D$48,IF(AB49&gt;=HELPER!$B$8,1,MATCH(AB49,HELPER!$B$8:$B$48,-1)+1)),""))</f>
        <v/>
      </c>
      <c r="AD49" s="141" t="str">
        <f>IF(AC49="","",IFERROR(VLOOKUP(AC49,HELPER!$F$8:$G$48,2,FALSE),""))</f>
        <v/>
      </c>
      <c r="AE49" s="6"/>
      <c r="AF49" s="12"/>
    </row>
    <row r="50" ht="15.0" customHeight="1">
      <c r="A50" s="6"/>
      <c r="B50" s="168">
        <v>33.0</v>
      </c>
      <c r="C50" s="145" t="str">
        <f>IF('INPUT DATA'!K43="","",'INPUT DATA'!K43)</f>
        <v/>
      </c>
      <c r="D50" s="107"/>
      <c r="E50" s="108"/>
      <c r="F50" s="128"/>
      <c r="G50" s="129"/>
      <c r="H50" s="129"/>
      <c r="I50" s="129"/>
      <c r="J50" s="130"/>
      <c r="K50" s="132" t="str">
        <f t="shared" si="1"/>
        <v/>
      </c>
      <c r="L50" s="133" t="str">
        <f t="shared" si="2"/>
        <v/>
      </c>
      <c r="M50" s="134" t="str">
        <f t="shared" si="3"/>
        <v/>
      </c>
      <c r="N50" s="128"/>
      <c r="O50" s="129"/>
      <c r="P50" s="130"/>
      <c r="Q50" s="132" t="str">
        <f t="shared" si="4"/>
        <v/>
      </c>
      <c r="R50" s="133" t="str">
        <f t="shared" si="5"/>
        <v/>
      </c>
      <c r="S50" s="134" t="str">
        <f t="shared" si="6"/>
        <v/>
      </c>
      <c r="T50" s="128"/>
      <c r="U50" s="129"/>
      <c r="V50" s="130"/>
      <c r="W50" s="136" t="str">
        <f t="shared" si="7"/>
        <v/>
      </c>
      <c r="X50" s="133" t="str">
        <f t="shared" si="8"/>
        <v/>
      </c>
      <c r="Y50" s="134" t="str">
        <f t="shared" si="9"/>
        <v/>
      </c>
      <c r="Z50" s="137" t="str">
        <f t="shared" si="10"/>
        <v/>
      </c>
      <c r="AA50" s="138" t="str">
        <f t="shared" si="11"/>
        <v/>
      </c>
      <c r="AB50" s="139" t="str">
        <f t="shared" si="12"/>
        <v/>
      </c>
      <c r="AC50" s="140" t="str">
        <f t="array" ref="AC50">IF(AB50="","",IFERROR(INDEX(HELPER!$D$8:$D$48,IF(AB50&gt;=HELPER!$B$8,1,MATCH(AB50,HELPER!$B$8:$B$48,-1)+1)),""))</f>
        <v/>
      </c>
      <c r="AD50" s="141" t="str">
        <f>IF(AC50="","",IFERROR(VLOOKUP(AC50,HELPER!$F$8:$G$48,2,FALSE),""))</f>
        <v/>
      </c>
      <c r="AE50" s="6"/>
      <c r="AF50" s="12"/>
    </row>
    <row r="51" ht="15.0" customHeight="1">
      <c r="A51" s="6"/>
      <c r="B51" s="168">
        <v>34.0</v>
      </c>
      <c r="C51" s="145" t="str">
        <f>IF('INPUT DATA'!K44="","",'INPUT DATA'!K44)</f>
        <v/>
      </c>
      <c r="D51" s="107"/>
      <c r="E51" s="108"/>
      <c r="F51" s="128"/>
      <c r="G51" s="129"/>
      <c r="H51" s="129"/>
      <c r="I51" s="129"/>
      <c r="J51" s="130"/>
      <c r="K51" s="132" t="str">
        <f t="shared" si="1"/>
        <v/>
      </c>
      <c r="L51" s="133" t="str">
        <f t="shared" si="2"/>
        <v/>
      </c>
      <c r="M51" s="134" t="str">
        <f t="shared" si="3"/>
        <v/>
      </c>
      <c r="N51" s="128"/>
      <c r="O51" s="129"/>
      <c r="P51" s="130"/>
      <c r="Q51" s="132" t="str">
        <f t="shared" si="4"/>
        <v/>
      </c>
      <c r="R51" s="133" t="str">
        <f t="shared" si="5"/>
        <v/>
      </c>
      <c r="S51" s="134" t="str">
        <f t="shared" si="6"/>
        <v/>
      </c>
      <c r="T51" s="128"/>
      <c r="U51" s="129"/>
      <c r="V51" s="130"/>
      <c r="W51" s="136" t="str">
        <f t="shared" si="7"/>
        <v/>
      </c>
      <c r="X51" s="133" t="str">
        <f t="shared" si="8"/>
        <v/>
      </c>
      <c r="Y51" s="134" t="str">
        <f t="shared" si="9"/>
        <v/>
      </c>
      <c r="Z51" s="137" t="str">
        <f t="shared" si="10"/>
        <v/>
      </c>
      <c r="AA51" s="138" t="str">
        <f t="shared" si="11"/>
        <v/>
      </c>
      <c r="AB51" s="139" t="str">
        <f t="shared" si="12"/>
        <v/>
      </c>
      <c r="AC51" s="140" t="str">
        <f t="array" ref="AC51">IF(AB51="","",IFERROR(INDEX(HELPER!$D$8:$D$48,IF(AB51&gt;=HELPER!$B$8,1,MATCH(AB51,HELPER!$B$8:$B$48,-1)+1)),""))</f>
        <v/>
      </c>
      <c r="AD51" s="141" t="str">
        <f>IF(AC51="","",IFERROR(VLOOKUP(AC51,HELPER!$F$8:$G$48,2,FALSE),""))</f>
        <v/>
      </c>
      <c r="AE51" s="6"/>
      <c r="AF51" s="12"/>
    </row>
    <row r="52" ht="15.0" customHeight="1">
      <c r="A52" s="6"/>
      <c r="B52" s="168">
        <v>35.0</v>
      </c>
      <c r="C52" s="145" t="str">
        <f>IF('INPUT DATA'!K45="","",'INPUT DATA'!K45)</f>
        <v/>
      </c>
      <c r="D52" s="107"/>
      <c r="E52" s="108"/>
      <c r="F52" s="128"/>
      <c r="G52" s="129"/>
      <c r="H52" s="129"/>
      <c r="I52" s="129"/>
      <c r="J52" s="130"/>
      <c r="K52" s="132" t="str">
        <f t="shared" si="1"/>
        <v/>
      </c>
      <c r="L52" s="133" t="str">
        <f t="shared" si="2"/>
        <v/>
      </c>
      <c r="M52" s="134" t="str">
        <f t="shared" si="3"/>
        <v/>
      </c>
      <c r="N52" s="128"/>
      <c r="O52" s="129"/>
      <c r="P52" s="130"/>
      <c r="Q52" s="132" t="str">
        <f t="shared" si="4"/>
        <v/>
      </c>
      <c r="R52" s="133" t="str">
        <f t="shared" si="5"/>
        <v/>
      </c>
      <c r="S52" s="134" t="str">
        <f t="shared" si="6"/>
        <v/>
      </c>
      <c r="T52" s="128"/>
      <c r="U52" s="129"/>
      <c r="V52" s="130"/>
      <c r="W52" s="136" t="str">
        <f t="shared" si="7"/>
        <v/>
      </c>
      <c r="X52" s="133" t="str">
        <f t="shared" si="8"/>
        <v/>
      </c>
      <c r="Y52" s="134" t="str">
        <f t="shared" si="9"/>
        <v/>
      </c>
      <c r="Z52" s="137" t="str">
        <f t="shared" si="10"/>
        <v/>
      </c>
      <c r="AA52" s="138" t="str">
        <f t="shared" si="11"/>
        <v/>
      </c>
      <c r="AB52" s="139" t="str">
        <f t="shared" si="12"/>
        <v/>
      </c>
      <c r="AC52" s="140" t="str">
        <f t="array" ref="AC52">IF(AB52="","",IFERROR(INDEX(HELPER!$D$8:$D$48,IF(AB52&gt;=HELPER!$B$8,1,MATCH(AB52,HELPER!$B$8:$B$48,-1)+1)),""))</f>
        <v/>
      </c>
      <c r="AD52" s="141" t="str">
        <f>IF(AC52="","",IFERROR(VLOOKUP(AC52,HELPER!$F$8:$G$48,2,FALSE),""))</f>
        <v/>
      </c>
      <c r="AE52" s="6"/>
      <c r="AF52" s="12"/>
    </row>
    <row r="53" ht="15.0" customHeight="1">
      <c r="A53" s="6"/>
      <c r="B53" s="168">
        <v>36.0</v>
      </c>
      <c r="C53" s="145" t="str">
        <f>IF('INPUT DATA'!K46="","",'INPUT DATA'!K46)</f>
        <v/>
      </c>
      <c r="D53" s="107"/>
      <c r="E53" s="108"/>
      <c r="F53" s="128"/>
      <c r="G53" s="129"/>
      <c r="H53" s="129"/>
      <c r="I53" s="129"/>
      <c r="J53" s="130"/>
      <c r="K53" s="132" t="str">
        <f t="shared" si="1"/>
        <v/>
      </c>
      <c r="L53" s="133" t="str">
        <f t="shared" si="2"/>
        <v/>
      </c>
      <c r="M53" s="134" t="str">
        <f t="shared" si="3"/>
        <v/>
      </c>
      <c r="N53" s="128"/>
      <c r="O53" s="129"/>
      <c r="P53" s="130"/>
      <c r="Q53" s="132" t="str">
        <f t="shared" si="4"/>
        <v/>
      </c>
      <c r="R53" s="133" t="str">
        <f t="shared" si="5"/>
        <v/>
      </c>
      <c r="S53" s="134" t="str">
        <f t="shared" si="6"/>
        <v/>
      </c>
      <c r="T53" s="128"/>
      <c r="U53" s="129"/>
      <c r="V53" s="130"/>
      <c r="W53" s="136" t="str">
        <f t="shared" si="7"/>
        <v/>
      </c>
      <c r="X53" s="133" t="str">
        <f t="shared" si="8"/>
        <v/>
      </c>
      <c r="Y53" s="134" t="str">
        <f t="shared" si="9"/>
        <v/>
      </c>
      <c r="Z53" s="137" t="str">
        <f t="shared" si="10"/>
        <v/>
      </c>
      <c r="AA53" s="138" t="str">
        <f t="shared" si="11"/>
        <v/>
      </c>
      <c r="AB53" s="139" t="str">
        <f t="shared" si="12"/>
        <v/>
      </c>
      <c r="AC53" s="140" t="str">
        <f t="array" ref="AC53">IF(AB53="","",IFERROR(INDEX(HELPER!$D$8:$D$48,IF(AB53&gt;=HELPER!$B$8,1,MATCH(AB53,HELPER!$B$8:$B$48,-1)+1)),""))</f>
        <v/>
      </c>
      <c r="AD53" s="141" t="str">
        <f>IF(AC53="","",IFERROR(VLOOKUP(AC53,HELPER!$F$8:$G$48,2,FALSE),""))</f>
        <v/>
      </c>
      <c r="AE53" s="6"/>
      <c r="AF53" s="12"/>
    </row>
    <row r="54" ht="15.0" customHeight="1">
      <c r="A54" s="6"/>
      <c r="B54" s="168">
        <v>37.0</v>
      </c>
      <c r="C54" s="145" t="str">
        <f>IF('INPUT DATA'!K47="","",'INPUT DATA'!K47)</f>
        <v/>
      </c>
      <c r="D54" s="107"/>
      <c r="E54" s="108"/>
      <c r="F54" s="128"/>
      <c r="G54" s="129"/>
      <c r="H54" s="129"/>
      <c r="I54" s="129"/>
      <c r="J54" s="130"/>
      <c r="K54" s="132" t="str">
        <f t="shared" si="1"/>
        <v/>
      </c>
      <c r="L54" s="133" t="str">
        <f t="shared" si="2"/>
        <v/>
      </c>
      <c r="M54" s="134" t="str">
        <f t="shared" si="3"/>
        <v/>
      </c>
      <c r="N54" s="128"/>
      <c r="O54" s="129"/>
      <c r="P54" s="130"/>
      <c r="Q54" s="132" t="str">
        <f t="shared" si="4"/>
        <v/>
      </c>
      <c r="R54" s="133" t="str">
        <f t="shared" si="5"/>
        <v/>
      </c>
      <c r="S54" s="134" t="str">
        <f t="shared" si="6"/>
        <v/>
      </c>
      <c r="T54" s="128"/>
      <c r="U54" s="129"/>
      <c r="V54" s="130"/>
      <c r="W54" s="136" t="str">
        <f t="shared" si="7"/>
        <v/>
      </c>
      <c r="X54" s="133" t="str">
        <f t="shared" si="8"/>
        <v/>
      </c>
      <c r="Y54" s="134" t="str">
        <f t="shared" si="9"/>
        <v/>
      </c>
      <c r="Z54" s="137" t="str">
        <f t="shared" si="10"/>
        <v/>
      </c>
      <c r="AA54" s="138" t="str">
        <f t="shared" si="11"/>
        <v/>
      </c>
      <c r="AB54" s="139" t="str">
        <f t="shared" si="12"/>
        <v/>
      </c>
      <c r="AC54" s="140" t="str">
        <f t="array" ref="AC54">IF(AB54="","",IFERROR(INDEX(HELPER!$D$8:$D$48,IF(AB54&gt;=HELPER!$B$8,1,MATCH(AB54,HELPER!$B$8:$B$48,-1)+1)),""))</f>
        <v/>
      </c>
      <c r="AD54" s="141" t="str">
        <f>IF(AC54="","",IFERROR(VLOOKUP(AC54,HELPER!$F$8:$G$48,2,FALSE),""))</f>
        <v/>
      </c>
      <c r="AE54" s="6"/>
      <c r="AF54" s="12"/>
    </row>
    <row r="55" ht="15.0" customHeight="1">
      <c r="A55" s="6"/>
      <c r="B55" s="168">
        <v>38.0</v>
      </c>
      <c r="C55" s="145" t="str">
        <f>IF('INPUT DATA'!K48="","",'INPUT DATA'!K48)</f>
        <v/>
      </c>
      <c r="D55" s="107"/>
      <c r="E55" s="108"/>
      <c r="F55" s="128"/>
      <c r="G55" s="129"/>
      <c r="H55" s="129"/>
      <c r="I55" s="129"/>
      <c r="J55" s="130"/>
      <c r="K55" s="132" t="str">
        <f t="shared" si="1"/>
        <v/>
      </c>
      <c r="L55" s="133" t="str">
        <f t="shared" si="2"/>
        <v/>
      </c>
      <c r="M55" s="134" t="str">
        <f t="shared" si="3"/>
        <v/>
      </c>
      <c r="N55" s="128"/>
      <c r="O55" s="129"/>
      <c r="P55" s="130"/>
      <c r="Q55" s="132" t="str">
        <f t="shared" si="4"/>
        <v/>
      </c>
      <c r="R55" s="133" t="str">
        <f t="shared" si="5"/>
        <v/>
      </c>
      <c r="S55" s="134" t="str">
        <f t="shared" si="6"/>
        <v/>
      </c>
      <c r="T55" s="128"/>
      <c r="U55" s="129"/>
      <c r="V55" s="130"/>
      <c r="W55" s="136" t="str">
        <f t="shared" si="7"/>
        <v/>
      </c>
      <c r="X55" s="133" t="str">
        <f t="shared" si="8"/>
        <v/>
      </c>
      <c r="Y55" s="134" t="str">
        <f t="shared" si="9"/>
        <v/>
      </c>
      <c r="Z55" s="137" t="str">
        <f t="shared" si="10"/>
        <v/>
      </c>
      <c r="AA55" s="138" t="str">
        <f t="shared" si="11"/>
        <v/>
      </c>
      <c r="AB55" s="139" t="str">
        <f t="shared" si="12"/>
        <v/>
      </c>
      <c r="AC55" s="140" t="str">
        <f t="array" ref="AC55">IF(AB55="","",IFERROR(INDEX(HELPER!$D$8:$D$48,IF(AB55&gt;=HELPER!$B$8,1,MATCH(AB55,HELPER!$B$8:$B$48,-1)+1)),""))</f>
        <v/>
      </c>
      <c r="AD55" s="141" t="str">
        <f>IF(AC55="","",IFERROR(VLOOKUP(AC55,HELPER!$F$8:$G$48,2,FALSE),""))</f>
        <v/>
      </c>
      <c r="AE55" s="6"/>
      <c r="AF55" s="12"/>
    </row>
    <row r="56" ht="15.0" customHeight="1">
      <c r="A56" s="6"/>
      <c r="B56" s="168">
        <v>39.0</v>
      </c>
      <c r="C56" s="145" t="str">
        <f>IF('INPUT DATA'!K49="","",'INPUT DATA'!K49)</f>
        <v/>
      </c>
      <c r="D56" s="107"/>
      <c r="E56" s="108"/>
      <c r="F56" s="128"/>
      <c r="G56" s="129"/>
      <c r="H56" s="129"/>
      <c r="I56" s="129"/>
      <c r="J56" s="130"/>
      <c r="K56" s="132" t="str">
        <f t="shared" si="1"/>
        <v/>
      </c>
      <c r="L56" s="133" t="str">
        <f t="shared" si="2"/>
        <v/>
      </c>
      <c r="M56" s="134" t="str">
        <f t="shared" si="3"/>
        <v/>
      </c>
      <c r="N56" s="128"/>
      <c r="O56" s="129"/>
      <c r="P56" s="130"/>
      <c r="Q56" s="132" t="str">
        <f t="shared" si="4"/>
        <v/>
      </c>
      <c r="R56" s="133" t="str">
        <f t="shared" si="5"/>
        <v/>
      </c>
      <c r="S56" s="134" t="str">
        <f t="shared" si="6"/>
        <v/>
      </c>
      <c r="T56" s="128"/>
      <c r="U56" s="129"/>
      <c r="V56" s="130"/>
      <c r="W56" s="136" t="str">
        <f t="shared" si="7"/>
        <v/>
      </c>
      <c r="X56" s="133" t="str">
        <f t="shared" si="8"/>
        <v/>
      </c>
      <c r="Y56" s="134" t="str">
        <f t="shared" si="9"/>
        <v/>
      </c>
      <c r="Z56" s="137" t="str">
        <f t="shared" si="10"/>
        <v/>
      </c>
      <c r="AA56" s="138" t="str">
        <f t="shared" si="11"/>
        <v/>
      </c>
      <c r="AB56" s="139" t="str">
        <f t="shared" si="12"/>
        <v/>
      </c>
      <c r="AC56" s="140" t="str">
        <f t="array" ref="AC56">IF(AB56="","",IFERROR(INDEX(HELPER!$D$8:$D$48,IF(AB56&gt;=HELPER!$B$8,1,MATCH(AB56,HELPER!$B$8:$B$48,-1)+1)),""))</f>
        <v/>
      </c>
      <c r="AD56" s="141" t="str">
        <f>IF(AC56="","",IFERROR(VLOOKUP(AC56,HELPER!$F$8:$G$48,2,FALSE),""))</f>
        <v/>
      </c>
      <c r="AE56" s="6"/>
      <c r="AF56" s="12"/>
    </row>
    <row r="57" ht="15.0" customHeight="1">
      <c r="A57" s="6"/>
      <c r="B57" s="168">
        <v>40.0</v>
      </c>
      <c r="C57" s="145" t="str">
        <f>IF('INPUT DATA'!K50="","",'INPUT DATA'!K50)</f>
        <v/>
      </c>
      <c r="D57" s="107"/>
      <c r="E57" s="108"/>
      <c r="F57" s="128"/>
      <c r="G57" s="129"/>
      <c r="H57" s="129"/>
      <c r="I57" s="129"/>
      <c r="J57" s="130"/>
      <c r="K57" s="132" t="str">
        <f t="shared" si="1"/>
        <v/>
      </c>
      <c r="L57" s="133" t="str">
        <f t="shared" si="2"/>
        <v/>
      </c>
      <c r="M57" s="134" t="str">
        <f t="shared" si="3"/>
        <v/>
      </c>
      <c r="N57" s="128"/>
      <c r="O57" s="129"/>
      <c r="P57" s="130"/>
      <c r="Q57" s="132" t="str">
        <f t="shared" si="4"/>
        <v/>
      </c>
      <c r="R57" s="133" t="str">
        <f t="shared" si="5"/>
        <v/>
      </c>
      <c r="S57" s="134" t="str">
        <f t="shared" si="6"/>
        <v/>
      </c>
      <c r="T57" s="128"/>
      <c r="U57" s="129"/>
      <c r="V57" s="130"/>
      <c r="W57" s="136" t="str">
        <f t="shared" si="7"/>
        <v/>
      </c>
      <c r="X57" s="133" t="str">
        <f t="shared" si="8"/>
        <v/>
      </c>
      <c r="Y57" s="134" t="str">
        <f t="shared" si="9"/>
        <v/>
      </c>
      <c r="Z57" s="137" t="str">
        <f t="shared" si="10"/>
        <v/>
      </c>
      <c r="AA57" s="138" t="str">
        <f t="shared" si="11"/>
        <v/>
      </c>
      <c r="AB57" s="139" t="str">
        <f t="shared" si="12"/>
        <v/>
      </c>
      <c r="AC57" s="140" t="str">
        <f t="array" ref="AC57">IF(AB57="","",IFERROR(INDEX(HELPER!$D$8:$D$48,IF(AB57&gt;=HELPER!$B$8,1,MATCH(AB57,HELPER!$B$8:$B$48,-1)+1)),""))</f>
        <v/>
      </c>
      <c r="AD57" s="141" t="str">
        <f>IF(AC57="","",IFERROR(VLOOKUP(AC57,HELPER!$F$8:$G$48,2,FALSE),""))</f>
        <v/>
      </c>
      <c r="AE57" s="6"/>
      <c r="AF57" s="12"/>
    </row>
    <row r="58" ht="15.0" customHeight="1">
      <c r="A58" s="6"/>
      <c r="B58" s="168">
        <v>41.0</v>
      </c>
      <c r="C58" s="145" t="str">
        <f>IF('INPUT DATA'!K51="","",'INPUT DATA'!K51)</f>
        <v/>
      </c>
      <c r="D58" s="107"/>
      <c r="E58" s="108"/>
      <c r="F58" s="128"/>
      <c r="G58" s="129"/>
      <c r="H58" s="129"/>
      <c r="I58" s="129"/>
      <c r="J58" s="130"/>
      <c r="K58" s="132" t="str">
        <f t="shared" si="1"/>
        <v/>
      </c>
      <c r="L58" s="133" t="str">
        <f t="shared" si="2"/>
        <v/>
      </c>
      <c r="M58" s="134" t="str">
        <f t="shared" si="3"/>
        <v/>
      </c>
      <c r="N58" s="128"/>
      <c r="O58" s="129"/>
      <c r="P58" s="130"/>
      <c r="Q58" s="132" t="str">
        <f t="shared" si="4"/>
        <v/>
      </c>
      <c r="R58" s="133" t="str">
        <f t="shared" si="5"/>
        <v/>
      </c>
      <c r="S58" s="134" t="str">
        <f t="shared" si="6"/>
        <v/>
      </c>
      <c r="T58" s="128"/>
      <c r="U58" s="129"/>
      <c r="V58" s="130"/>
      <c r="W58" s="136" t="str">
        <f t="shared" si="7"/>
        <v/>
      </c>
      <c r="X58" s="133" t="str">
        <f t="shared" si="8"/>
        <v/>
      </c>
      <c r="Y58" s="134" t="str">
        <f t="shared" si="9"/>
        <v/>
      </c>
      <c r="Z58" s="137" t="str">
        <f t="shared" si="10"/>
        <v/>
      </c>
      <c r="AA58" s="138" t="str">
        <f t="shared" si="11"/>
        <v/>
      </c>
      <c r="AB58" s="139" t="str">
        <f t="shared" si="12"/>
        <v/>
      </c>
      <c r="AC58" s="140" t="str">
        <f t="array" ref="AC58">IF(AB58="","",IFERROR(INDEX(HELPER!$D$8:$D$48,IF(AB58&gt;=HELPER!$B$8,1,MATCH(AB58,HELPER!$B$8:$B$48,-1)+1)),""))</f>
        <v/>
      </c>
      <c r="AD58" s="141" t="str">
        <f>IF(AC58="","",IFERROR(VLOOKUP(AC58,HELPER!$F$8:$G$48,2,FALSE),""))</f>
        <v/>
      </c>
      <c r="AE58" s="6"/>
      <c r="AF58" s="12"/>
    </row>
    <row r="59" ht="15.0" customHeight="1">
      <c r="A59" s="6"/>
      <c r="B59" s="168">
        <v>42.0</v>
      </c>
      <c r="C59" s="145" t="str">
        <f>IF('INPUT DATA'!K52="","",'INPUT DATA'!K52)</f>
        <v/>
      </c>
      <c r="D59" s="107"/>
      <c r="E59" s="108"/>
      <c r="F59" s="128"/>
      <c r="G59" s="129"/>
      <c r="H59" s="129"/>
      <c r="I59" s="129"/>
      <c r="J59" s="130"/>
      <c r="K59" s="132" t="str">
        <f t="shared" si="1"/>
        <v/>
      </c>
      <c r="L59" s="133" t="str">
        <f t="shared" si="2"/>
        <v/>
      </c>
      <c r="M59" s="134" t="str">
        <f t="shared" si="3"/>
        <v/>
      </c>
      <c r="N59" s="128"/>
      <c r="O59" s="129"/>
      <c r="P59" s="130"/>
      <c r="Q59" s="132" t="str">
        <f t="shared" si="4"/>
        <v/>
      </c>
      <c r="R59" s="133" t="str">
        <f t="shared" si="5"/>
        <v/>
      </c>
      <c r="S59" s="134" t="str">
        <f t="shared" si="6"/>
        <v/>
      </c>
      <c r="T59" s="128"/>
      <c r="U59" s="129"/>
      <c r="V59" s="130"/>
      <c r="W59" s="136" t="str">
        <f t="shared" si="7"/>
        <v/>
      </c>
      <c r="X59" s="133" t="str">
        <f t="shared" si="8"/>
        <v/>
      </c>
      <c r="Y59" s="134" t="str">
        <f t="shared" si="9"/>
        <v/>
      </c>
      <c r="Z59" s="137" t="str">
        <f t="shared" si="10"/>
        <v/>
      </c>
      <c r="AA59" s="138" t="str">
        <f t="shared" si="11"/>
        <v/>
      </c>
      <c r="AB59" s="139" t="str">
        <f t="shared" si="12"/>
        <v/>
      </c>
      <c r="AC59" s="140" t="str">
        <f t="array" ref="AC59">IF(AB59="","",IFERROR(INDEX(HELPER!$D$8:$D$48,IF(AB59&gt;=HELPER!$B$8,1,MATCH(AB59,HELPER!$B$8:$B$48,-1)+1)),""))</f>
        <v/>
      </c>
      <c r="AD59" s="141" t="str">
        <f>IF(AC59="","",IFERROR(VLOOKUP(AC59,HELPER!$F$8:$G$48,2,FALSE),""))</f>
        <v/>
      </c>
      <c r="AE59" s="6"/>
      <c r="AF59" s="12"/>
    </row>
    <row r="60" ht="15.0" customHeight="1">
      <c r="A60" s="6"/>
      <c r="B60" s="168">
        <v>43.0</v>
      </c>
      <c r="C60" s="145" t="str">
        <f>IF('INPUT DATA'!K53="","",'INPUT DATA'!K53)</f>
        <v/>
      </c>
      <c r="D60" s="107"/>
      <c r="E60" s="108"/>
      <c r="F60" s="128"/>
      <c r="G60" s="129"/>
      <c r="H60" s="129"/>
      <c r="I60" s="129"/>
      <c r="J60" s="130"/>
      <c r="K60" s="132" t="str">
        <f t="shared" si="1"/>
        <v/>
      </c>
      <c r="L60" s="133" t="str">
        <f t="shared" si="2"/>
        <v/>
      </c>
      <c r="M60" s="134" t="str">
        <f t="shared" si="3"/>
        <v/>
      </c>
      <c r="N60" s="128"/>
      <c r="O60" s="129"/>
      <c r="P60" s="130"/>
      <c r="Q60" s="132" t="str">
        <f t="shared" si="4"/>
        <v/>
      </c>
      <c r="R60" s="133" t="str">
        <f t="shared" si="5"/>
        <v/>
      </c>
      <c r="S60" s="134" t="str">
        <f t="shared" si="6"/>
        <v/>
      </c>
      <c r="T60" s="128"/>
      <c r="U60" s="129"/>
      <c r="V60" s="130"/>
      <c r="W60" s="136" t="str">
        <f t="shared" si="7"/>
        <v/>
      </c>
      <c r="X60" s="133" t="str">
        <f t="shared" si="8"/>
        <v/>
      </c>
      <c r="Y60" s="134" t="str">
        <f t="shared" si="9"/>
        <v/>
      </c>
      <c r="Z60" s="137" t="str">
        <f t="shared" si="10"/>
        <v/>
      </c>
      <c r="AA60" s="138" t="str">
        <f t="shared" si="11"/>
        <v/>
      </c>
      <c r="AB60" s="139" t="str">
        <f t="shared" si="12"/>
        <v/>
      </c>
      <c r="AC60" s="140" t="str">
        <f t="array" ref="AC60">IF(AB60="","",IFERROR(INDEX(HELPER!$D$8:$D$48,IF(AB60&gt;=HELPER!$B$8,1,MATCH(AB60,HELPER!$B$8:$B$48,-1)+1)),""))</f>
        <v/>
      </c>
      <c r="AD60" s="141" t="str">
        <f>IF(AC60="","",IFERROR(VLOOKUP(AC60,HELPER!$F$8:$G$48,2,FALSE),""))</f>
        <v/>
      </c>
      <c r="AE60" s="6"/>
      <c r="AF60" s="12"/>
    </row>
    <row r="61" ht="15.0" customHeight="1">
      <c r="A61" s="6"/>
      <c r="B61" s="168">
        <v>44.0</v>
      </c>
      <c r="C61" s="145" t="str">
        <f>IF('INPUT DATA'!K54="","",'INPUT DATA'!K54)</f>
        <v/>
      </c>
      <c r="D61" s="107"/>
      <c r="E61" s="108"/>
      <c r="F61" s="128"/>
      <c r="G61" s="129"/>
      <c r="H61" s="129"/>
      <c r="I61" s="129"/>
      <c r="J61" s="130"/>
      <c r="K61" s="132" t="str">
        <f t="shared" si="1"/>
        <v/>
      </c>
      <c r="L61" s="133" t="str">
        <f t="shared" si="2"/>
        <v/>
      </c>
      <c r="M61" s="134" t="str">
        <f t="shared" si="3"/>
        <v/>
      </c>
      <c r="N61" s="128"/>
      <c r="O61" s="129"/>
      <c r="P61" s="130"/>
      <c r="Q61" s="132" t="str">
        <f t="shared" si="4"/>
        <v/>
      </c>
      <c r="R61" s="133" t="str">
        <f t="shared" si="5"/>
        <v/>
      </c>
      <c r="S61" s="134" t="str">
        <f t="shared" si="6"/>
        <v/>
      </c>
      <c r="T61" s="128"/>
      <c r="U61" s="129"/>
      <c r="V61" s="130"/>
      <c r="W61" s="136" t="str">
        <f t="shared" si="7"/>
        <v/>
      </c>
      <c r="X61" s="133" t="str">
        <f t="shared" si="8"/>
        <v/>
      </c>
      <c r="Y61" s="134" t="str">
        <f t="shared" si="9"/>
        <v/>
      </c>
      <c r="Z61" s="137" t="str">
        <f t="shared" si="10"/>
        <v/>
      </c>
      <c r="AA61" s="138" t="str">
        <f t="shared" si="11"/>
        <v/>
      </c>
      <c r="AB61" s="139" t="str">
        <f t="shared" si="12"/>
        <v/>
      </c>
      <c r="AC61" s="140" t="str">
        <f t="array" ref="AC61">IF(AB61="","",IFERROR(INDEX(HELPER!$D$8:$D$48,IF(AB61&gt;=HELPER!$B$8,1,MATCH(AB61,HELPER!$B$8:$B$48,-1)+1)),""))</f>
        <v/>
      </c>
      <c r="AD61" s="141" t="str">
        <f>IF(AC61="","",IFERROR(VLOOKUP(AC61,HELPER!$F$8:$G$48,2,FALSE),""))</f>
        <v/>
      </c>
      <c r="AE61" s="6"/>
      <c r="AF61" s="12"/>
    </row>
    <row r="62" ht="15.0" customHeight="1">
      <c r="A62" s="6"/>
      <c r="B62" s="168">
        <v>45.0</v>
      </c>
      <c r="C62" s="145" t="str">
        <f>IF('INPUT DATA'!K55="","",'INPUT DATA'!K55)</f>
        <v/>
      </c>
      <c r="D62" s="107"/>
      <c r="E62" s="108"/>
      <c r="F62" s="128"/>
      <c r="G62" s="129"/>
      <c r="H62" s="129"/>
      <c r="I62" s="129"/>
      <c r="J62" s="130"/>
      <c r="K62" s="132" t="str">
        <f t="shared" si="1"/>
        <v/>
      </c>
      <c r="L62" s="133" t="str">
        <f t="shared" si="2"/>
        <v/>
      </c>
      <c r="M62" s="134" t="str">
        <f t="shared" si="3"/>
        <v/>
      </c>
      <c r="N62" s="128"/>
      <c r="O62" s="129"/>
      <c r="P62" s="130"/>
      <c r="Q62" s="132" t="str">
        <f t="shared" si="4"/>
        <v/>
      </c>
      <c r="R62" s="133" t="str">
        <f t="shared" si="5"/>
        <v/>
      </c>
      <c r="S62" s="134" t="str">
        <f t="shared" si="6"/>
        <v/>
      </c>
      <c r="T62" s="128"/>
      <c r="U62" s="129"/>
      <c r="V62" s="130"/>
      <c r="W62" s="136" t="str">
        <f t="shared" si="7"/>
        <v/>
      </c>
      <c r="X62" s="133" t="str">
        <f t="shared" si="8"/>
        <v/>
      </c>
      <c r="Y62" s="134" t="str">
        <f t="shared" si="9"/>
        <v/>
      </c>
      <c r="Z62" s="137" t="str">
        <f t="shared" si="10"/>
        <v/>
      </c>
      <c r="AA62" s="138" t="str">
        <f t="shared" si="11"/>
        <v/>
      </c>
      <c r="AB62" s="139" t="str">
        <f t="shared" si="12"/>
        <v/>
      </c>
      <c r="AC62" s="140" t="str">
        <f t="array" ref="AC62">IF(AB62="","",IFERROR(INDEX(HELPER!$D$8:$D$48,IF(AB62&gt;=HELPER!$B$8,1,MATCH(AB62,HELPER!$B$8:$B$48,-1)+1)),""))</f>
        <v/>
      </c>
      <c r="AD62" s="141" t="str">
        <f>IF(AC62="","",IFERROR(VLOOKUP(AC62,HELPER!$F$8:$G$48,2,FALSE),""))</f>
        <v/>
      </c>
      <c r="AE62" s="6"/>
      <c r="AF62" s="12"/>
    </row>
    <row r="63" ht="15.0" customHeight="1">
      <c r="A63" s="6"/>
      <c r="B63" s="168">
        <v>46.0</v>
      </c>
      <c r="C63" s="145" t="str">
        <f>IF('INPUT DATA'!K56="","",'INPUT DATA'!K56)</f>
        <v/>
      </c>
      <c r="D63" s="107"/>
      <c r="E63" s="108"/>
      <c r="F63" s="128"/>
      <c r="G63" s="129"/>
      <c r="H63" s="129"/>
      <c r="I63" s="129"/>
      <c r="J63" s="130"/>
      <c r="K63" s="132" t="str">
        <f t="shared" si="1"/>
        <v/>
      </c>
      <c r="L63" s="133" t="str">
        <f t="shared" si="2"/>
        <v/>
      </c>
      <c r="M63" s="134" t="str">
        <f t="shared" si="3"/>
        <v/>
      </c>
      <c r="N63" s="128"/>
      <c r="O63" s="129"/>
      <c r="P63" s="130"/>
      <c r="Q63" s="132" t="str">
        <f t="shared" si="4"/>
        <v/>
      </c>
      <c r="R63" s="133" t="str">
        <f t="shared" si="5"/>
        <v/>
      </c>
      <c r="S63" s="134" t="str">
        <f t="shared" si="6"/>
        <v/>
      </c>
      <c r="T63" s="128"/>
      <c r="U63" s="129"/>
      <c r="V63" s="130"/>
      <c r="W63" s="136" t="str">
        <f t="shared" si="7"/>
        <v/>
      </c>
      <c r="X63" s="133" t="str">
        <f t="shared" si="8"/>
        <v/>
      </c>
      <c r="Y63" s="134" t="str">
        <f t="shared" si="9"/>
        <v/>
      </c>
      <c r="Z63" s="137" t="str">
        <f t="shared" si="10"/>
        <v/>
      </c>
      <c r="AA63" s="138" t="str">
        <f t="shared" si="11"/>
        <v/>
      </c>
      <c r="AB63" s="139" t="str">
        <f t="shared" si="12"/>
        <v/>
      </c>
      <c r="AC63" s="140" t="str">
        <f t="array" ref="AC63">IF(AB63="","",IFERROR(INDEX(HELPER!$D$8:$D$48,IF(AB63&gt;=HELPER!$B$8,1,MATCH(AB63,HELPER!$B$8:$B$48,-1)+1)),""))</f>
        <v/>
      </c>
      <c r="AD63" s="141" t="str">
        <f>IF(AC63="","",IFERROR(VLOOKUP(AC63,HELPER!$F$8:$G$48,2,FALSE),""))</f>
        <v/>
      </c>
      <c r="AE63" s="6"/>
      <c r="AF63" s="12"/>
    </row>
    <row r="64" ht="15.0" customHeight="1">
      <c r="A64" s="6"/>
      <c r="B64" s="168">
        <v>47.0</v>
      </c>
      <c r="C64" s="145" t="str">
        <f>IF('INPUT DATA'!K57="","",'INPUT DATA'!K57)</f>
        <v/>
      </c>
      <c r="D64" s="107"/>
      <c r="E64" s="108"/>
      <c r="F64" s="128"/>
      <c r="G64" s="129"/>
      <c r="H64" s="129"/>
      <c r="I64" s="129"/>
      <c r="J64" s="130"/>
      <c r="K64" s="132" t="str">
        <f t="shared" si="1"/>
        <v/>
      </c>
      <c r="L64" s="133" t="str">
        <f t="shared" si="2"/>
        <v/>
      </c>
      <c r="M64" s="134" t="str">
        <f t="shared" si="3"/>
        <v/>
      </c>
      <c r="N64" s="128"/>
      <c r="O64" s="129"/>
      <c r="P64" s="130"/>
      <c r="Q64" s="132" t="str">
        <f t="shared" si="4"/>
        <v/>
      </c>
      <c r="R64" s="133" t="str">
        <f t="shared" si="5"/>
        <v/>
      </c>
      <c r="S64" s="134" t="str">
        <f t="shared" si="6"/>
        <v/>
      </c>
      <c r="T64" s="128"/>
      <c r="U64" s="129"/>
      <c r="V64" s="130"/>
      <c r="W64" s="136" t="str">
        <f t="shared" si="7"/>
        <v/>
      </c>
      <c r="X64" s="133" t="str">
        <f t="shared" si="8"/>
        <v/>
      </c>
      <c r="Y64" s="134" t="str">
        <f t="shared" si="9"/>
        <v/>
      </c>
      <c r="Z64" s="137" t="str">
        <f t="shared" si="10"/>
        <v/>
      </c>
      <c r="AA64" s="138" t="str">
        <f t="shared" si="11"/>
        <v/>
      </c>
      <c r="AB64" s="139" t="str">
        <f t="shared" si="12"/>
        <v/>
      </c>
      <c r="AC64" s="140" t="str">
        <f t="array" ref="AC64">IF(AB64="","",IFERROR(INDEX(HELPER!$D$8:$D$48,IF(AB64&gt;=HELPER!$B$8,1,MATCH(AB64,HELPER!$B$8:$B$48,-1)+1)),""))</f>
        <v/>
      </c>
      <c r="AD64" s="141" t="str">
        <f>IF(AC64="","",IFERROR(VLOOKUP(AC64,HELPER!$F$8:$G$48,2,FALSE),""))</f>
        <v/>
      </c>
      <c r="AE64" s="6"/>
      <c r="AF64" s="12"/>
    </row>
    <row r="65" ht="15.0" customHeight="1">
      <c r="A65" s="6"/>
      <c r="B65" s="168">
        <v>48.0</v>
      </c>
      <c r="C65" s="145" t="str">
        <f>IF('INPUT DATA'!K58="","",'INPUT DATA'!K58)</f>
        <v/>
      </c>
      <c r="D65" s="107"/>
      <c r="E65" s="108"/>
      <c r="F65" s="128"/>
      <c r="G65" s="129"/>
      <c r="H65" s="129"/>
      <c r="I65" s="129"/>
      <c r="J65" s="130"/>
      <c r="K65" s="132" t="str">
        <f t="shared" si="1"/>
        <v/>
      </c>
      <c r="L65" s="133" t="str">
        <f t="shared" si="2"/>
        <v/>
      </c>
      <c r="M65" s="134" t="str">
        <f t="shared" si="3"/>
        <v/>
      </c>
      <c r="N65" s="128"/>
      <c r="O65" s="129"/>
      <c r="P65" s="130"/>
      <c r="Q65" s="132" t="str">
        <f t="shared" si="4"/>
        <v/>
      </c>
      <c r="R65" s="133" t="str">
        <f t="shared" si="5"/>
        <v/>
      </c>
      <c r="S65" s="134" t="str">
        <f t="shared" si="6"/>
        <v/>
      </c>
      <c r="T65" s="128"/>
      <c r="U65" s="129"/>
      <c r="V65" s="130"/>
      <c r="W65" s="136" t="str">
        <f t="shared" si="7"/>
        <v/>
      </c>
      <c r="X65" s="133" t="str">
        <f t="shared" si="8"/>
        <v/>
      </c>
      <c r="Y65" s="134" t="str">
        <f t="shared" si="9"/>
        <v/>
      </c>
      <c r="Z65" s="137" t="str">
        <f t="shared" si="10"/>
        <v/>
      </c>
      <c r="AA65" s="138" t="str">
        <f t="shared" si="11"/>
        <v/>
      </c>
      <c r="AB65" s="139" t="str">
        <f t="shared" si="12"/>
        <v/>
      </c>
      <c r="AC65" s="140" t="str">
        <f t="array" ref="AC65">IF(AB65="","",IFERROR(INDEX(HELPER!$D$8:$D$48,IF(AB65&gt;=HELPER!$B$8,1,MATCH(AB65,HELPER!$B$8:$B$48,-1)+1)),""))</f>
        <v/>
      </c>
      <c r="AD65" s="141" t="str">
        <f>IF(AC65="","",IFERROR(VLOOKUP(AC65,HELPER!$F$8:$G$48,2,FALSE),""))</f>
        <v/>
      </c>
      <c r="AE65" s="6"/>
      <c r="AF65" s="12"/>
    </row>
    <row r="66" ht="15.0" customHeight="1">
      <c r="A66" s="6"/>
      <c r="B66" s="168">
        <v>49.0</v>
      </c>
      <c r="C66" s="145" t="str">
        <f>IF('INPUT DATA'!K59="","",'INPUT DATA'!K59)</f>
        <v/>
      </c>
      <c r="D66" s="107"/>
      <c r="E66" s="108"/>
      <c r="F66" s="128"/>
      <c r="G66" s="129"/>
      <c r="H66" s="129"/>
      <c r="I66" s="129"/>
      <c r="J66" s="130"/>
      <c r="K66" s="132" t="str">
        <f t="shared" si="1"/>
        <v/>
      </c>
      <c r="L66" s="133" t="str">
        <f t="shared" si="2"/>
        <v/>
      </c>
      <c r="M66" s="134" t="str">
        <f t="shared" si="3"/>
        <v/>
      </c>
      <c r="N66" s="128"/>
      <c r="O66" s="129"/>
      <c r="P66" s="130"/>
      <c r="Q66" s="132" t="str">
        <f t="shared" si="4"/>
        <v/>
      </c>
      <c r="R66" s="133" t="str">
        <f t="shared" si="5"/>
        <v/>
      </c>
      <c r="S66" s="134" t="str">
        <f t="shared" si="6"/>
        <v/>
      </c>
      <c r="T66" s="128"/>
      <c r="U66" s="129"/>
      <c r="V66" s="130"/>
      <c r="W66" s="136" t="str">
        <f t="shared" si="7"/>
        <v/>
      </c>
      <c r="X66" s="133" t="str">
        <f t="shared" si="8"/>
        <v/>
      </c>
      <c r="Y66" s="134" t="str">
        <f t="shared" si="9"/>
        <v/>
      </c>
      <c r="Z66" s="137" t="str">
        <f t="shared" si="10"/>
        <v/>
      </c>
      <c r="AA66" s="138" t="str">
        <f t="shared" si="11"/>
        <v/>
      </c>
      <c r="AB66" s="139" t="str">
        <f t="shared" si="12"/>
        <v/>
      </c>
      <c r="AC66" s="140" t="str">
        <f t="array" ref="AC66">IF(AB66="","",IFERROR(INDEX(HELPER!$D$8:$D$48,IF(AB66&gt;=HELPER!$B$8,1,MATCH(AB66,HELPER!$B$8:$B$48,-1)+1)),""))</f>
        <v/>
      </c>
      <c r="AD66" s="141" t="str">
        <f>IF(AC66="","",IFERROR(VLOOKUP(AC66,HELPER!$F$8:$G$48,2,FALSE),""))</f>
        <v/>
      </c>
      <c r="AE66" s="6"/>
      <c r="AF66" s="12"/>
    </row>
    <row r="67" ht="15.0" customHeight="1">
      <c r="A67" s="6"/>
      <c r="B67" s="168">
        <v>50.0</v>
      </c>
      <c r="C67" s="145" t="str">
        <f>IF('INPUT DATA'!K60="","",'INPUT DATA'!K60)</f>
        <v/>
      </c>
      <c r="D67" s="107"/>
      <c r="E67" s="108"/>
      <c r="F67" s="184"/>
      <c r="G67" s="185"/>
      <c r="H67" s="185"/>
      <c r="I67" s="185"/>
      <c r="J67" s="186"/>
      <c r="K67" s="132" t="str">
        <f t="shared" si="1"/>
        <v/>
      </c>
      <c r="L67" s="133" t="str">
        <f t="shared" si="2"/>
        <v/>
      </c>
      <c r="M67" s="134" t="str">
        <f t="shared" si="3"/>
        <v/>
      </c>
      <c r="N67" s="184"/>
      <c r="O67" s="185"/>
      <c r="P67" s="186"/>
      <c r="Q67" s="132" t="str">
        <f t="shared" si="4"/>
        <v/>
      </c>
      <c r="R67" s="133" t="str">
        <f t="shared" si="5"/>
        <v/>
      </c>
      <c r="S67" s="134" t="str">
        <f t="shared" si="6"/>
        <v/>
      </c>
      <c r="T67" s="184"/>
      <c r="U67" s="185"/>
      <c r="V67" s="186"/>
      <c r="W67" s="136" t="str">
        <f t="shared" si="7"/>
        <v/>
      </c>
      <c r="X67" s="133" t="str">
        <f t="shared" si="8"/>
        <v/>
      </c>
      <c r="Y67" s="134" t="str">
        <f t="shared" si="9"/>
        <v/>
      </c>
      <c r="Z67" s="137" t="str">
        <f t="shared" si="10"/>
        <v/>
      </c>
      <c r="AA67" s="138" t="str">
        <f t="shared" si="11"/>
        <v/>
      </c>
      <c r="AB67" s="139" t="str">
        <f t="shared" si="12"/>
        <v/>
      </c>
      <c r="AC67" s="187" t="str">
        <f t="array" ref="AC67">IF(AB67="","",IFERROR(INDEX(HELPER!$D$8:$D$48,IF(AB67&gt;=HELPER!$B$8,1,MATCH(AB67,HELPER!$B$8:$B$48,-1)+1)),""))</f>
        <v/>
      </c>
      <c r="AD67" s="188" t="str">
        <f>IF(AC67="","",IFERROR(VLOOKUP(AC67,HELPER!$F$8:$G$48,2,FALSE),""))</f>
        <v/>
      </c>
      <c r="AE67" s="6"/>
      <c r="AF67" s="12"/>
    </row>
    <row r="68" ht="15.75" customHeight="1">
      <c r="A68" s="6"/>
      <c r="B68" s="189" t="s">
        <v>7</v>
      </c>
      <c r="C68" s="160"/>
      <c r="D68" s="160"/>
      <c r="E68" s="160"/>
      <c r="F68" s="160"/>
      <c r="G68" s="160"/>
      <c r="H68" s="160"/>
      <c r="I68" s="160"/>
      <c r="J68" s="160"/>
      <c r="K68" s="160"/>
      <c r="L68" s="160"/>
      <c r="M68" s="160"/>
      <c r="N68" s="160"/>
      <c r="O68" s="160"/>
      <c r="P68" s="160"/>
      <c r="Q68" s="160"/>
      <c r="R68" s="160"/>
      <c r="S68" s="160"/>
      <c r="T68" s="160"/>
      <c r="U68" s="160"/>
      <c r="V68" s="160"/>
      <c r="W68" s="160"/>
      <c r="X68" s="160"/>
      <c r="Y68" s="160"/>
      <c r="Z68" s="160"/>
      <c r="AA68" s="160"/>
      <c r="AB68" s="160"/>
      <c r="AC68" s="160"/>
      <c r="AD68" s="161"/>
      <c r="AE68" s="6"/>
      <c r="AF68" s="12"/>
    </row>
    <row r="69" ht="15.0" customHeight="1">
      <c r="A69" s="6"/>
      <c r="B69" s="190">
        <v>1.0</v>
      </c>
      <c r="C69" s="191" t="str">
        <f>IF('INPUT DATA'!N11="","",'INPUT DATA'!N11)</f>
        <v/>
      </c>
      <c r="D69" s="192"/>
      <c r="E69" s="193"/>
      <c r="F69" s="109"/>
      <c r="G69" s="110"/>
      <c r="H69" s="110"/>
      <c r="I69" s="110"/>
      <c r="J69" s="111"/>
      <c r="K69" s="194" t="str">
        <f t="shared" ref="K69:K118" si="13">IF(COUNT($F69:$J69)=0,"",SUM($F69:$J69))</f>
        <v/>
      </c>
      <c r="L69" s="195" t="str">
        <f t="shared" ref="L69:L118" si="14">IF(COUNT(F69:J69)=0,"",IFERROR(K69/$K$15*$L$15,""))</f>
        <v/>
      </c>
      <c r="M69" s="196" t="str">
        <f t="shared" ref="M69:M118" si="15">IF(L69="","",L69*$M$15)</f>
        <v/>
      </c>
      <c r="N69" s="109"/>
      <c r="O69" s="110"/>
      <c r="P69" s="111"/>
      <c r="Q69" s="194" t="str">
        <f t="shared" ref="Q69:Q118" si="16">IF(COUNT(N69:P69)=0,"",SUM(N69:P69))</f>
        <v/>
      </c>
      <c r="R69" s="195" t="str">
        <f t="shared" ref="R69:R118" si="17">IF(COUNT(N69:P69)=0,"",IFERROR(Q69/$Q$15*$R$15,""))</f>
        <v/>
      </c>
      <c r="S69" s="196" t="str">
        <f t="shared" ref="S69:S118" si="18">IF(R69="","",R69*$S$15)</f>
        <v/>
      </c>
      <c r="T69" s="109"/>
      <c r="U69" s="110"/>
      <c r="V69" s="111"/>
      <c r="W69" s="197" t="str">
        <f t="shared" ref="W69:W118" si="19">IF(T69="","",IFERROR(T69/$T$15*$W$15,""))</f>
        <v/>
      </c>
      <c r="X69" s="195" t="str">
        <f t="shared" ref="X69:X118" si="20">IF(U69="","",IFERROR(U69/$U$15*$X$15,""))</f>
        <v/>
      </c>
      <c r="Y69" s="196" t="str">
        <f t="shared" ref="Y69:Y118" si="21">IF(V69="","",IFERROR(V69/$V$15*$Y$15,""))</f>
        <v/>
      </c>
      <c r="Z69" s="198" t="str">
        <f t="shared" ref="Z69:Z118" si="22">IF(COUNT(T69:V69)=0,"",SUM(W69:Y69))</f>
        <v/>
      </c>
      <c r="AA69" s="199" t="str">
        <f t="shared" ref="AA69:AA118" si="23">IF(Z69="","",Z69*$AA$15)</f>
        <v/>
      </c>
      <c r="AB69" s="200" t="str">
        <f t="shared" ref="AB69:AB118" si="24">IF(COUNT(F69:J69,N69:P69,T69:V69)=0,"",SUM(M69,S69,AA69))</f>
        <v/>
      </c>
      <c r="AC69" s="123" t="str">
        <f t="array" ref="AC69">IF(AB69="","",IFERROR(INDEX(HELPER!$D$8:$D$48,IF(AB69&gt;=HELPER!$B$8,1,MATCH(AB69,HELPER!$B$8:$B$48,-1)+1)),""))</f>
        <v/>
      </c>
      <c r="AD69" s="125" t="str">
        <f>IF(AC69="","",IFERROR(VLOOKUP(AC69,HELPER!$F$8:$G$48,2,FALSE),""))</f>
        <v/>
      </c>
      <c r="AE69" s="6"/>
      <c r="AF69" s="12"/>
    </row>
    <row r="70" ht="15.0" customHeight="1">
      <c r="A70" s="6"/>
      <c r="B70" s="201">
        <v>2.0</v>
      </c>
      <c r="C70" s="202" t="str">
        <f>IF('INPUT DATA'!N12="","",'INPUT DATA'!N12)</f>
        <v/>
      </c>
      <c r="D70" s="203"/>
      <c r="E70" s="204"/>
      <c r="F70" s="128"/>
      <c r="G70" s="129"/>
      <c r="H70" s="129"/>
      <c r="I70" s="129"/>
      <c r="J70" s="130"/>
      <c r="K70" s="132" t="str">
        <f t="shared" si="13"/>
        <v/>
      </c>
      <c r="L70" s="133" t="str">
        <f t="shared" si="14"/>
        <v/>
      </c>
      <c r="M70" s="134" t="str">
        <f t="shared" si="15"/>
        <v/>
      </c>
      <c r="N70" s="128"/>
      <c r="O70" s="129"/>
      <c r="P70" s="130"/>
      <c r="Q70" s="132" t="str">
        <f t="shared" si="16"/>
        <v/>
      </c>
      <c r="R70" s="133" t="str">
        <f t="shared" si="17"/>
        <v/>
      </c>
      <c r="S70" s="134" t="str">
        <f t="shared" si="18"/>
        <v/>
      </c>
      <c r="T70" s="128"/>
      <c r="U70" s="129"/>
      <c r="V70" s="130"/>
      <c r="W70" s="136" t="str">
        <f t="shared" si="19"/>
        <v/>
      </c>
      <c r="X70" s="133" t="str">
        <f t="shared" si="20"/>
        <v/>
      </c>
      <c r="Y70" s="134" t="str">
        <f t="shared" si="21"/>
        <v/>
      </c>
      <c r="Z70" s="137" t="str">
        <f t="shared" si="22"/>
        <v/>
      </c>
      <c r="AA70" s="138" t="str">
        <f t="shared" si="23"/>
        <v/>
      </c>
      <c r="AB70" s="139" t="str">
        <f t="shared" si="24"/>
        <v/>
      </c>
      <c r="AC70" s="140" t="str">
        <f t="array" ref="AC70">IF(AB70="","",IFERROR(INDEX(HELPER!$D$8:$D$48,IF(AB70&gt;=HELPER!$B$8,1,MATCH(AB70,HELPER!$B$8:$B$48,-1)+1)),""))</f>
        <v/>
      </c>
      <c r="AD70" s="141" t="str">
        <f>IF(AC70="","",IFERROR(VLOOKUP(AC70,HELPER!$F$8:$G$48,2,FALSE),""))</f>
        <v/>
      </c>
      <c r="AE70" s="6"/>
      <c r="AF70" s="12"/>
    </row>
    <row r="71" ht="15.0" customHeight="1">
      <c r="A71" s="6"/>
      <c r="B71" s="201">
        <v>3.0</v>
      </c>
      <c r="C71" s="202" t="str">
        <f>IF('INPUT DATA'!N13="","",'INPUT DATA'!N13)</f>
        <v/>
      </c>
      <c r="D71" s="203"/>
      <c r="E71" s="204"/>
      <c r="F71" s="128"/>
      <c r="G71" s="129"/>
      <c r="H71" s="129"/>
      <c r="I71" s="129"/>
      <c r="J71" s="130"/>
      <c r="K71" s="132" t="str">
        <f t="shared" si="13"/>
        <v/>
      </c>
      <c r="L71" s="133" t="str">
        <f t="shared" si="14"/>
        <v/>
      </c>
      <c r="M71" s="134" t="str">
        <f t="shared" si="15"/>
        <v/>
      </c>
      <c r="N71" s="128"/>
      <c r="O71" s="129"/>
      <c r="P71" s="130"/>
      <c r="Q71" s="132" t="str">
        <f t="shared" si="16"/>
        <v/>
      </c>
      <c r="R71" s="133" t="str">
        <f t="shared" si="17"/>
        <v/>
      </c>
      <c r="S71" s="134" t="str">
        <f t="shared" si="18"/>
        <v/>
      </c>
      <c r="T71" s="128"/>
      <c r="U71" s="129"/>
      <c r="V71" s="130"/>
      <c r="W71" s="136" t="str">
        <f t="shared" si="19"/>
        <v/>
      </c>
      <c r="X71" s="133" t="str">
        <f t="shared" si="20"/>
        <v/>
      </c>
      <c r="Y71" s="134" t="str">
        <f t="shared" si="21"/>
        <v/>
      </c>
      <c r="Z71" s="137" t="str">
        <f t="shared" si="22"/>
        <v/>
      </c>
      <c r="AA71" s="138" t="str">
        <f t="shared" si="23"/>
        <v/>
      </c>
      <c r="AB71" s="139" t="str">
        <f t="shared" si="24"/>
        <v/>
      </c>
      <c r="AC71" s="140" t="str">
        <f t="array" ref="AC71">IF(AB71="","",IFERROR(INDEX(HELPER!$D$8:$D$48,IF(AB71&gt;=HELPER!$B$8,1,MATCH(AB71,HELPER!$B$8:$B$48,-1)+1)),""))</f>
        <v/>
      </c>
      <c r="AD71" s="141" t="str">
        <f>IF(AC71="","",IFERROR(VLOOKUP(AC71,HELPER!$F$8:$G$48,2,FALSE),""))</f>
        <v/>
      </c>
      <c r="AE71" s="6"/>
      <c r="AF71" s="12"/>
    </row>
    <row r="72" ht="15.0" customHeight="1">
      <c r="A72" s="6"/>
      <c r="B72" s="201">
        <v>4.0</v>
      </c>
      <c r="C72" s="202" t="str">
        <f>IF('INPUT DATA'!N14="","",'INPUT DATA'!N14)</f>
        <v/>
      </c>
      <c r="D72" s="203"/>
      <c r="E72" s="204"/>
      <c r="F72" s="128"/>
      <c r="G72" s="129"/>
      <c r="H72" s="129"/>
      <c r="I72" s="129"/>
      <c r="J72" s="130"/>
      <c r="K72" s="132" t="str">
        <f t="shared" si="13"/>
        <v/>
      </c>
      <c r="L72" s="133" t="str">
        <f t="shared" si="14"/>
        <v/>
      </c>
      <c r="M72" s="134" t="str">
        <f t="shared" si="15"/>
        <v/>
      </c>
      <c r="N72" s="128"/>
      <c r="O72" s="129"/>
      <c r="P72" s="130"/>
      <c r="Q72" s="132" t="str">
        <f t="shared" si="16"/>
        <v/>
      </c>
      <c r="R72" s="133" t="str">
        <f t="shared" si="17"/>
        <v/>
      </c>
      <c r="S72" s="134" t="str">
        <f t="shared" si="18"/>
        <v/>
      </c>
      <c r="T72" s="128"/>
      <c r="U72" s="129"/>
      <c r="V72" s="130"/>
      <c r="W72" s="136" t="str">
        <f t="shared" si="19"/>
        <v/>
      </c>
      <c r="X72" s="133" t="str">
        <f t="shared" si="20"/>
        <v/>
      </c>
      <c r="Y72" s="134" t="str">
        <f t="shared" si="21"/>
        <v/>
      </c>
      <c r="Z72" s="137" t="str">
        <f t="shared" si="22"/>
        <v/>
      </c>
      <c r="AA72" s="138" t="str">
        <f t="shared" si="23"/>
        <v/>
      </c>
      <c r="AB72" s="139" t="str">
        <f t="shared" si="24"/>
        <v/>
      </c>
      <c r="AC72" s="140" t="str">
        <f t="array" ref="AC72">IF(AB72="","",IFERROR(INDEX(HELPER!$D$8:$D$48,IF(AB72&gt;=HELPER!$B$8,1,MATCH(AB72,HELPER!$B$8:$B$48,-1)+1)),""))</f>
        <v/>
      </c>
      <c r="AD72" s="141" t="str">
        <f>IF(AC72="","",IFERROR(VLOOKUP(AC72,HELPER!$F$8:$G$48,2,FALSE),""))</f>
        <v/>
      </c>
      <c r="AE72" s="6"/>
      <c r="AF72" s="12"/>
    </row>
    <row r="73" ht="15.0" customHeight="1">
      <c r="A73" s="6"/>
      <c r="B73" s="201">
        <v>5.0</v>
      </c>
      <c r="C73" s="202" t="str">
        <f>IF('INPUT DATA'!N15="","",'INPUT DATA'!N15)</f>
        <v/>
      </c>
      <c r="D73" s="203"/>
      <c r="E73" s="204"/>
      <c r="F73" s="128"/>
      <c r="G73" s="129"/>
      <c r="H73" s="129"/>
      <c r="I73" s="129"/>
      <c r="J73" s="130"/>
      <c r="K73" s="132" t="str">
        <f t="shared" si="13"/>
        <v/>
      </c>
      <c r="L73" s="133" t="str">
        <f t="shared" si="14"/>
        <v/>
      </c>
      <c r="M73" s="134" t="str">
        <f t="shared" si="15"/>
        <v/>
      </c>
      <c r="N73" s="128"/>
      <c r="O73" s="129"/>
      <c r="P73" s="130"/>
      <c r="Q73" s="132" t="str">
        <f t="shared" si="16"/>
        <v/>
      </c>
      <c r="R73" s="133" t="str">
        <f t="shared" si="17"/>
        <v/>
      </c>
      <c r="S73" s="134" t="str">
        <f t="shared" si="18"/>
        <v/>
      </c>
      <c r="T73" s="128"/>
      <c r="U73" s="129"/>
      <c r="V73" s="130"/>
      <c r="W73" s="136" t="str">
        <f t="shared" si="19"/>
        <v/>
      </c>
      <c r="X73" s="133" t="str">
        <f t="shared" si="20"/>
        <v/>
      </c>
      <c r="Y73" s="134" t="str">
        <f t="shared" si="21"/>
        <v/>
      </c>
      <c r="Z73" s="137" t="str">
        <f t="shared" si="22"/>
        <v/>
      </c>
      <c r="AA73" s="138" t="str">
        <f t="shared" si="23"/>
        <v/>
      </c>
      <c r="AB73" s="139" t="str">
        <f t="shared" si="24"/>
        <v/>
      </c>
      <c r="AC73" s="140" t="str">
        <f t="array" ref="AC73">IF(AB73="","",IFERROR(INDEX(HELPER!$D$8:$D$48,IF(AB73&gt;=HELPER!$B$8,1,MATCH(AB73,HELPER!$B$8:$B$48,-1)+1)),""))</f>
        <v/>
      </c>
      <c r="AD73" s="141" t="str">
        <f>IF(AC73="","",IFERROR(VLOOKUP(AC73,HELPER!$F$8:$G$48,2,FALSE),""))</f>
        <v/>
      </c>
      <c r="AE73" s="6"/>
      <c r="AF73" s="12"/>
    </row>
    <row r="74" ht="15.0" customHeight="1">
      <c r="A74" s="6"/>
      <c r="B74" s="201">
        <v>6.0</v>
      </c>
      <c r="C74" s="202" t="str">
        <f>IF('INPUT DATA'!N16="","",'INPUT DATA'!N16)</f>
        <v/>
      </c>
      <c r="D74" s="203"/>
      <c r="E74" s="204"/>
      <c r="F74" s="128"/>
      <c r="G74" s="129"/>
      <c r="H74" s="129"/>
      <c r="I74" s="129"/>
      <c r="J74" s="130"/>
      <c r="K74" s="132" t="str">
        <f t="shared" si="13"/>
        <v/>
      </c>
      <c r="L74" s="133" t="str">
        <f t="shared" si="14"/>
        <v/>
      </c>
      <c r="M74" s="134" t="str">
        <f t="shared" si="15"/>
        <v/>
      </c>
      <c r="N74" s="128"/>
      <c r="O74" s="129"/>
      <c r="P74" s="130"/>
      <c r="Q74" s="132" t="str">
        <f t="shared" si="16"/>
        <v/>
      </c>
      <c r="R74" s="133" t="str">
        <f t="shared" si="17"/>
        <v/>
      </c>
      <c r="S74" s="134" t="str">
        <f t="shared" si="18"/>
        <v/>
      </c>
      <c r="T74" s="128"/>
      <c r="U74" s="129"/>
      <c r="V74" s="130"/>
      <c r="W74" s="136" t="str">
        <f t="shared" si="19"/>
        <v/>
      </c>
      <c r="X74" s="133" t="str">
        <f t="shared" si="20"/>
        <v/>
      </c>
      <c r="Y74" s="134" t="str">
        <f t="shared" si="21"/>
        <v/>
      </c>
      <c r="Z74" s="137" t="str">
        <f t="shared" si="22"/>
        <v/>
      </c>
      <c r="AA74" s="138" t="str">
        <f t="shared" si="23"/>
        <v/>
      </c>
      <c r="AB74" s="139" t="str">
        <f t="shared" si="24"/>
        <v/>
      </c>
      <c r="AC74" s="140" t="str">
        <f t="array" ref="AC74">IF(AB74="","",IFERROR(INDEX(HELPER!$D$8:$D$48,IF(AB74&gt;=HELPER!$B$8,1,MATCH(AB74,HELPER!$B$8:$B$48,-1)+1)),""))</f>
        <v/>
      </c>
      <c r="AD74" s="141" t="str">
        <f>IF(AC74="","",IFERROR(VLOOKUP(AC74,HELPER!$F$8:$G$48,2,FALSE),""))</f>
        <v/>
      </c>
      <c r="AE74" s="6"/>
      <c r="AF74" s="12"/>
    </row>
    <row r="75" ht="15.0" customHeight="1">
      <c r="A75" s="6"/>
      <c r="B75" s="201">
        <v>7.0</v>
      </c>
      <c r="C75" s="202" t="str">
        <f>IF('INPUT DATA'!N17="","",'INPUT DATA'!N17)</f>
        <v/>
      </c>
      <c r="D75" s="203"/>
      <c r="E75" s="204"/>
      <c r="F75" s="128"/>
      <c r="G75" s="129"/>
      <c r="H75" s="129"/>
      <c r="I75" s="129"/>
      <c r="J75" s="130"/>
      <c r="K75" s="132" t="str">
        <f t="shared" si="13"/>
        <v/>
      </c>
      <c r="L75" s="133" t="str">
        <f t="shared" si="14"/>
        <v/>
      </c>
      <c r="M75" s="134" t="str">
        <f t="shared" si="15"/>
        <v/>
      </c>
      <c r="N75" s="128"/>
      <c r="O75" s="129"/>
      <c r="P75" s="130"/>
      <c r="Q75" s="132" t="str">
        <f t="shared" si="16"/>
        <v/>
      </c>
      <c r="R75" s="133" t="str">
        <f t="shared" si="17"/>
        <v/>
      </c>
      <c r="S75" s="134" t="str">
        <f t="shared" si="18"/>
        <v/>
      </c>
      <c r="T75" s="128"/>
      <c r="U75" s="129"/>
      <c r="V75" s="130"/>
      <c r="W75" s="136" t="str">
        <f t="shared" si="19"/>
        <v/>
      </c>
      <c r="X75" s="133" t="str">
        <f t="shared" si="20"/>
        <v/>
      </c>
      <c r="Y75" s="134" t="str">
        <f t="shared" si="21"/>
        <v/>
      </c>
      <c r="Z75" s="137" t="str">
        <f t="shared" si="22"/>
        <v/>
      </c>
      <c r="AA75" s="138" t="str">
        <f t="shared" si="23"/>
        <v/>
      </c>
      <c r="AB75" s="139" t="str">
        <f t="shared" si="24"/>
        <v/>
      </c>
      <c r="AC75" s="140" t="str">
        <f t="array" ref="AC75">IF(AB75="","",IFERROR(INDEX(HELPER!$D$8:$D$48,IF(AB75&gt;=HELPER!$B$8,1,MATCH(AB75,HELPER!$B$8:$B$48,-1)+1)),""))</f>
        <v/>
      </c>
      <c r="AD75" s="141" t="str">
        <f>IF(AC75="","",IFERROR(VLOOKUP(AC75,HELPER!$F$8:$G$48,2,FALSE),""))</f>
        <v/>
      </c>
      <c r="AE75" s="6"/>
      <c r="AF75" s="12"/>
    </row>
    <row r="76" ht="15.0" customHeight="1">
      <c r="A76" s="6"/>
      <c r="B76" s="201">
        <v>8.0</v>
      </c>
      <c r="C76" s="202" t="str">
        <f>IF('INPUT DATA'!N18="","",'INPUT DATA'!N18)</f>
        <v/>
      </c>
      <c r="D76" s="203"/>
      <c r="E76" s="204"/>
      <c r="F76" s="128"/>
      <c r="G76" s="129"/>
      <c r="H76" s="129"/>
      <c r="I76" s="129"/>
      <c r="J76" s="130"/>
      <c r="K76" s="132" t="str">
        <f t="shared" si="13"/>
        <v/>
      </c>
      <c r="L76" s="133" t="str">
        <f t="shared" si="14"/>
        <v/>
      </c>
      <c r="M76" s="134" t="str">
        <f t="shared" si="15"/>
        <v/>
      </c>
      <c r="N76" s="128"/>
      <c r="O76" s="129"/>
      <c r="P76" s="130"/>
      <c r="Q76" s="132" t="str">
        <f t="shared" si="16"/>
        <v/>
      </c>
      <c r="R76" s="133" t="str">
        <f t="shared" si="17"/>
        <v/>
      </c>
      <c r="S76" s="134" t="str">
        <f t="shared" si="18"/>
        <v/>
      </c>
      <c r="T76" s="128"/>
      <c r="U76" s="129"/>
      <c r="V76" s="130"/>
      <c r="W76" s="136" t="str">
        <f t="shared" si="19"/>
        <v/>
      </c>
      <c r="X76" s="133" t="str">
        <f t="shared" si="20"/>
        <v/>
      </c>
      <c r="Y76" s="134" t="str">
        <f t="shared" si="21"/>
        <v/>
      </c>
      <c r="Z76" s="137" t="str">
        <f t="shared" si="22"/>
        <v/>
      </c>
      <c r="AA76" s="138" t="str">
        <f t="shared" si="23"/>
        <v/>
      </c>
      <c r="AB76" s="139" t="str">
        <f t="shared" si="24"/>
        <v/>
      </c>
      <c r="AC76" s="140" t="str">
        <f t="array" ref="AC76">IF(AB76="","",IFERROR(INDEX(HELPER!$D$8:$D$48,IF(AB76&gt;=HELPER!$B$8,1,MATCH(AB76,HELPER!$B$8:$B$48,-1)+1)),""))</f>
        <v/>
      </c>
      <c r="AD76" s="141" t="str">
        <f>IF(AC76="","",IFERROR(VLOOKUP(AC76,HELPER!$F$8:$G$48,2,FALSE),""))</f>
        <v/>
      </c>
      <c r="AE76" s="6"/>
      <c r="AF76" s="12"/>
    </row>
    <row r="77" ht="15.0" customHeight="1">
      <c r="A77" s="6"/>
      <c r="B77" s="201">
        <v>9.0</v>
      </c>
      <c r="C77" s="202" t="str">
        <f>IF('INPUT DATA'!N19="","",'INPUT DATA'!N19)</f>
        <v/>
      </c>
      <c r="D77" s="203"/>
      <c r="E77" s="204"/>
      <c r="F77" s="128"/>
      <c r="G77" s="129"/>
      <c r="H77" s="129"/>
      <c r="I77" s="129"/>
      <c r="J77" s="130"/>
      <c r="K77" s="132" t="str">
        <f t="shared" si="13"/>
        <v/>
      </c>
      <c r="L77" s="133" t="str">
        <f t="shared" si="14"/>
        <v/>
      </c>
      <c r="M77" s="134" t="str">
        <f t="shared" si="15"/>
        <v/>
      </c>
      <c r="N77" s="128"/>
      <c r="O77" s="129"/>
      <c r="P77" s="130"/>
      <c r="Q77" s="132" t="str">
        <f t="shared" si="16"/>
        <v/>
      </c>
      <c r="R77" s="133" t="str">
        <f t="shared" si="17"/>
        <v/>
      </c>
      <c r="S77" s="134" t="str">
        <f t="shared" si="18"/>
        <v/>
      </c>
      <c r="T77" s="128"/>
      <c r="U77" s="129"/>
      <c r="V77" s="130"/>
      <c r="W77" s="136" t="str">
        <f t="shared" si="19"/>
        <v/>
      </c>
      <c r="X77" s="133" t="str">
        <f t="shared" si="20"/>
        <v/>
      </c>
      <c r="Y77" s="134" t="str">
        <f t="shared" si="21"/>
        <v/>
      </c>
      <c r="Z77" s="137" t="str">
        <f t="shared" si="22"/>
        <v/>
      </c>
      <c r="AA77" s="138" t="str">
        <f t="shared" si="23"/>
        <v/>
      </c>
      <c r="AB77" s="139" t="str">
        <f t="shared" si="24"/>
        <v/>
      </c>
      <c r="AC77" s="140" t="str">
        <f t="array" ref="AC77">IF(AB77="","",IFERROR(INDEX(HELPER!$D$8:$D$48,IF(AB77&gt;=HELPER!$B$8,1,MATCH(AB77,HELPER!$B$8:$B$48,-1)+1)),""))</f>
        <v/>
      </c>
      <c r="AD77" s="141" t="str">
        <f>IF(AC77="","",IFERROR(VLOOKUP(AC77,HELPER!$F$8:$G$48,2,FALSE),""))</f>
        <v/>
      </c>
      <c r="AE77" s="6"/>
      <c r="AF77" s="12"/>
    </row>
    <row r="78" ht="15.0" customHeight="1">
      <c r="A78" s="6"/>
      <c r="B78" s="201">
        <v>10.0</v>
      </c>
      <c r="C78" s="202" t="str">
        <f>IF('INPUT DATA'!N20="","",'INPUT DATA'!N20)</f>
        <v/>
      </c>
      <c r="D78" s="203"/>
      <c r="E78" s="204"/>
      <c r="F78" s="128"/>
      <c r="G78" s="129"/>
      <c r="H78" s="129"/>
      <c r="I78" s="129"/>
      <c r="J78" s="130"/>
      <c r="K78" s="132" t="str">
        <f t="shared" si="13"/>
        <v/>
      </c>
      <c r="L78" s="133" t="str">
        <f t="shared" si="14"/>
        <v/>
      </c>
      <c r="M78" s="134" t="str">
        <f t="shared" si="15"/>
        <v/>
      </c>
      <c r="N78" s="128"/>
      <c r="O78" s="129"/>
      <c r="P78" s="130"/>
      <c r="Q78" s="132" t="str">
        <f t="shared" si="16"/>
        <v/>
      </c>
      <c r="R78" s="133" t="str">
        <f t="shared" si="17"/>
        <v/>
      </c>
      <c r="S78" s="134" t="str">
        <f t="shared" si="18"/>
        <v/>
      </c>
      <c r="T78" s="128"/>
      <c r="U78" s="129"/>
      <c r="V78" s="130"/>
      <c r="W78" s="136" t="str">
        <f t="shared" si="19"/>
        <v/>
      </c>
      <c r="X78" s="133" t="str">
        <f t="shared" si="20"/>
        <v/>
      </c>
      <c r="Y78" s="134" t="str">
        <f t="shared" si="21"/>
        <v/>
      </c>
      <c r="Z78" s="137" t="str">
        <f t="shared" si="22"/>
        <v/>
      </c>
      <c r="AA78" s="138" t="str">
        <f t="shared" si="23"/>
        <v/>
      </c>
      <c r="AB78" s="139" t="str">
        <f t="shared" si="24"/>
        <v/>
      </c>
      <c r="AC78" s="140" t="str">
        <f t="array" ref="AC78">IF(AB78="","",IFERROR(INDEX(HELPER!$D$8:$D$48,IF(AB78&gt;=HELPER!$B$8,1,MATCH(AB78,HELPER!$B$8:$B$48,-1)+1)),""))</f>
        <v/>
      </c>
      <c r="AD78" s="141" t="str">
        <f>IF(AC78="","",IFERROR(VLOOKUP(AC78,HELPER!$F$8:$G$48,2,FALSE),""))</f>
        <v/>
      </c>
      <c r="AE78" s="6"/>
      <c r="AF78" s="12"/>
    </row>
    <row r="79" ht="15.0" customHeight="1">
      <c r="A79" s="6"/>
      <c r="B79" s="201">
        <v>11.0</v>
      </c>
      <c r="C79" s="202" t="str">
        <f>IF('INPUT DATA'!N21="","",'INPUT DATA'!N21)</f>
        <v/>
      </c>
      <c r="D79" s="203"/>
      <c r="E79" s="204"/>
      <c r="F79" s="128"/>
      <c r="G79" s="129"/>
      <c r="H79" s="129"/>
      <c r="I79" s="129"/>
      <c r="J79" s="130"/>
      <c r="K79" s="132" t="str">
        <f t="shared" si="13"/>
        <v/>
      </c>
      <c r="L79" s="133" t="str">
        <f t="shared" si="14"/>
        <v/>
      </c>
      <c r="M79" s="134" t="str">
        <f t="shared" si="15"/>
        <v/>
      </c>
      <c r="N79" s="128"/>
      <c r="O79" s="129"/>
      <c r="P79" s="130"/>
      <c r="Q79" s="132" t="str">
        <f t="shared" si="16"/>
        <v/>
      </c>
      <c r="R79" s="133" t="str">
        <f t="shared" si="17"/>
        <v/>
      </c>
      <c r="S79" s="134" t="str">
        <f t="shared" si="18"/>
        <v/>
      </c>
      <c r="T79" s="128"/>
      <c r="U79" s="129"/>
      <c r="V79" s="130"/>
      <c r="W79" s="136" t="str">
        <f t="shared" si="19"/>
        <v/>
      </c>
      <c r="X79" s="133" t="str">
        <f t="shared" si="20"/>
        <v/>
      </c>
      <c r="Y79" s="134" t="str">
        <f t="shared" si="21"/>
        <v/>
      </c>
      <c r="Z79" s="137" t="str">
        <f t="shared" si="22"/>
        <v/>
      </c>
      <c r="AA79" s="138" t="str">
        <f t="shared" si="23"/>
        <v/>
      </c>
      <c r="AB79" s="139" t="str">
        <f t="shared" si="24"/>
        <v/>
      </c>
      <c r="AC79" s="140" t="str">
        <f t="array" ref="AC79">IF(AB79="","",IFERROR(INDEX(HELPER!$D$8:$D$48,IF(AB79&gt;=HELPER!$B$8,1,MATCH(AB79,HELPER!$B$8:$B$48,-1)+1)),""))</f>
        <v/>
      </c>
      <c r="AD79" s="141" t="str">
        <f>IF(AC79="","",IFERROR(VLOOKUP(AC79,HELPER!$F$8:$G$48,2,FALSE),""))</f>
        <v/>
      </c>
      <c r="AE79" s="6"/>
      <c r="AF79" s="12"/>
    </row>
    <row r="80" ht="15.0" customHeight="1">
      <c r="A80" s="6"/>
      <c r="B80" s="201">
        <v>12.0</v>
      </c>
      <c r="C80" s="202" t="str">
        <f>IF('INPUT DATA'!N22="","",'INPUT DATA'!N22)</f>
        <v/>
      </c>
      <c r="D80" s="203"/>
      <c r="E80" s="204"/>
      <c r="F80" s="128"/>
      <c r="G80" s="129"/>
      <c r="H80" s="129"/>
      <c r="I80" s="129"/>
      <c r="J80" s="130"/>
      <c r="K80" s="132" t="str">
        <f t="shared" si="13"/>
        <v/>
      </c>
      <c r="L80" s="133" t="str">
        <f t="shared" si="14"/>
        <v/>
      </c>
      <c r="M80" s="134" t="str">
        <f t="shared" si="15"/>
        <v/>
      </c>
      <c r="N80" s="128"/>
      <c r="O80" s="129"/>
      <c r="P80" s="130"/>
      <c r="Q80" s="132" t="str">
        <f t="shared" si="16"/>
        <v/>
      </c>
      <c r="R80" s="133" t="str">
        <f t="shared" si="17"/>
        <v/>
      </c>
      <c r="S80" s="134" t="str">
        <f t="shared" si="18"/>
        <v/>
      </c>
      <c r="T80" s="128"/>
      <c r="U80" s="129"/>
      <c r="V80" s="130"/>
      <c r="W80" s="136" t="str">
        <f t="shared" si="19"/>
        <v/>
      </c>
      <c r="X80" s="133" t="str">
        <f t="shared" si="20"/>
        <v/>
      </c>
      <c r="Y80" s="134" t="str">
        <f t="shared" si="21"/>
        <v/>
      </c>
      <c r="Z80" s="137" t="str">
        <f t="shared" si="22"/>
        <v/>
      </c>
      <c r="AA80" s="138" t="str">
        <f t="shared" si="23"/>
        <v/>
      </c>
      <c r="AB80" s="139" t="str">
        <f t="shared" si="24"/>
        <v/>
      </c>
      <c r="AC80" s="140" t="str">
        <f t="array" ref="AC80">IF(AB80="","",IFERROR(INDEX(HELPER!$D$8:$D$48,IF(AB80&gt;=HELPER!$B$8,1,MATCH(AB80,HELPER!$B$8:$B$48,-1)+1)),""))</f>
        <v/>
      </c>
      <c r="AD80" s="141" t="str">
        <f>IF(AC80="","",IFERROR(VLOOKUP(AC80,HELPER!$F$8:$G$48,2,FALSE),""))</f>
        <v/>
      </c>
      <c r="AE80" s="6"/>
      <c r="AF80" s="12"/>
    </row>
    <row r="81" ht="15.0" customHeight="1">
      <c r="A81" s="6"/>
      <c r="B81" s="201">
        <v>13.0</v>
      </c>
      <c r="C81" s="202" t="str">
        <f>IF('INPUT DATA'!N23="","",'INPUT DATA'!N23)</f>
        <v/>
      </c>
      <c r="D81" s="203"/>
      <c r="E81" s="204"/>
      <c r="F81" s="128"/>
      <c r="G81" s="129"/>
      <c r="H81" s="129"/>
      <c r="I81" s="129"/>
      <c r="J81" s="130"/>
      <c r="K81" s="132" t="str">
        <f t="shared" si="13"/>
        <v/>
      </c>
      <c r="L81" s="133" t="str">
        <f t="shared" si="14"/>
        <v/>
      </c>
      <c r="M81" s="134" t="str">
        <f t="shared" si="15"/>
        <v/>
      </c>
      <c r="N81" s="128"/>
      <c r="O81" s="129"/>
      <c r="P81" s="130"/>
      <c r="Q81" s="132" t="str">
        <f t="shared" si="16"/>
        <v/>
      </c>
      <c r="R81" s="133" t="str">
        <f t="shared" si="17"/>
        <v/>
      </c>
      <c r="S81" s="134" t="str">
        <f t="shared" si="18"/>
        <v/>
      </c>
      <c r="T81" s="128"/>
      <c r="U81" s="129"/>
      <c r="V81" s="130"/>
      <c r="W81" s="136" t="str">
        <f t="shared" si="19"/>
        <v/>
      </c>
      <c r="X81" s="133" t="str">
        <f t="shared" si="20"/>
        <v/>
      </c>
      <c r="Y81" s="134" t="str">
        <f t="shared" si="21"/>
        <v/>
      </c>
      <c r="Z81" s="137" t="str">
        <f t="shared" si="22"/>
        <v/>
      </c>
      <c r="AA81" s="138" t="str">
        <f t="shared" si="23"/>
        <v/>
      </c>
      <c r="AB81" s="139" t="str">
        <f t="shared" si="24"/>
        <v/>
      </c>
      <c r="AC81" s="140" t="str">
        <f t="array" ref="AC81">IF(AB81="","",IFERROR(INDEX(HELPER!$D$8:$D$48,IF(AB81&gt;=HELPER!$B$8,1,MATCH(AB81,HELPER!$B$8:$B$48,-1)+1)),""))</f>
        <v/>
      </c>
      <c r="AD81" s="141" t="str">
        <f>IF(AC81="","",IFERROR(VLOOKUP(AC81,HELPER!$F$8:$G$48,2,FALSE),""))</f>
        <v/>
      </c>
      <c r="AE81" s="6"/>
      <c r="AF81" s="12"/>
    </row>
    <row r="82" ht="15.0" customHeight="1">
      <c r="A82" s="6"/>
      <c r="B82" s="201">
        <v>14.0</v>
      </c>
      <c r="C82" s="202" t="str">
        <f>IF('INPUT DATA'!N24="","",'INPUT DATA'!N24)</f>
        <v/>
      </c>
      <c r="D82" s="203"/>
      <c r="E82" s="204"/>
      <c r="F82" s="128"/>
      <c r="G82" s="129"/>
      <c r="H82" s="129"/>
      <c r="I82" s="129"/>
      <c r="J82" s="130"/>
      <c r="K82" s="132" t="str">
        <f t="shared" si="13"/>
        <v/>
      </c>
      <c r="L82" s="133" t="str">
        <f t="shared" si="14"/>
        <v/>
      </c>
      <c r="M82" s="134" t="str">
        <f t="shared" si="15"/>
        <v/>
      </c>
      <c r="N82" s="128"/>
      <c r="O82" s="129"/>
      <c r="P82" s="130"/>
      <c r="Q82" s="132" t="str">
        <f t="shared" si="16"/>
        <v/>
      </c>
      <c r="R82" s="133" t="str">
        <f t="shared" si="17"/>
        <v/>
      </c>
      <c r="S82" s="134" t="str">
        <f t="shared" si="18"/>
        <v/>
      </c>
      <c r="T82" s="128"/>
      <c r="U82" s="129"/>
      <c r="V82" s="130"/>
      <c r="W82" s="136" t="str">
        <f t="shared" si="19"/>
        <v/>
      </c>
      <c r="X82" s="133" t="str">
        <f t="shared" si="20"/>
        <v/>
      </c>
      <c r="Y82" s="134" t="str">
        <f t="shared" si="21"/>
        <v/>
      </c>
      <c r="Z82" s="137" t="str">
        <f t="shared" si="22"/>
        <v/>
      </c>
      <c r="AA82" s="138" t="str">
        <f t="shared" si="23"/>
        <v/>
      </c>
      <c r="AB82" s="139" t="str">
        <f t="shared" si="24"/>
        <v/>
      </c>
      <c r="AC82" s="140" t="str">
        <f t="array" ref="AC82">IF(AB82="","",IFERROR(INDEX(HELPER!$D$8:$D$48,IF(AB82&gt;=HELPER!$B$8,1,MATCH(AB82,HELPER!$B$8:$B$48,-1)+1)),""))</f>
        <v/>
      </c>
      <c r="AD82" s="141" t="str">
        <f>IF(AC82="","",IFERROR(VLOOKUP(AC82,HELPER!$F$8:$G$48,2,FALSE),""))</f>
        <v/>
      </c>
      <c r="AE82" s="6"/>
      <c r="AF82" s="12"/>
    </row>
    <row r="83" ht="15.0" customHeight="1">
      <c r="A83" s="6"/>
      <c r="B83" s="201">
        <v>15.0</v>
      </c>
      <c r="C83" s="202" t="str">
        <f>IF('INPUT DATA'!N25="","",'INPUT DATA'!N25)</f>
        <v/>
      </c>
      <c r="D83" s="203"/>
      <c r="E83" s="204"/>
      <c r="F83" s="128"/>
      <c r="G83" s="129"/>
      <c r="H83" s="129"/>
      <c r="I83" s="129"/>
      <c r="J83" s="130"/>
      <c r="K83" s="132" t="str">
        <f t="shared" si="13"/>
        <v/>
      </c>
      <c r="L83" s="133" t="str">
        <f t="shared" si="14"/>
        <v/>
      </c>
      <c r="M83" s="134" t="str">
        <f t="shared" si="15"/>
        <v/>
      </c>
      <c r="N83" s="128"/>
      <c r="O83" s="129"/>
      <c r="P83" s="130"/>
      <c r="Q83" s="132" t="str">
        <f t="shared" si="16"/>
        <v/>
      </c>
      <c r="R83" s="133" t="str">
        <f t="shared" si="17"/>
        <v/>
      </c>
      <c r="S83" s="134" t="str">
        <f t="shared" si="18"/>
        <v/>
      </c>
      <c r="T83" s="128"/>
      <c r="U83" s="129"/>
      <c r="V83" s="130"/>
      <c r="W83" s="136" t="str">
        <f t="shared" si="19"/>
        <v/>
      </c>
      <c r="X83" s="133" t="str">
        <f t="shared" si="20"/>
        <v/>
      </c>
      <c r="Y83" s="134" t="str">
        <f t="shared" si="21"/>
        <v/>
      </c>
      <c r="Z83" s="137" t="str">
        <f t="shared" si="22"/>
        <v/>
      </c>
      <c r="AA83" s="138" t="str">
        <f t="shared" si="23"/>
        <v/>
      </c>
      <c r="AB83" s="139" t="str">
        <f t="shared" si="24"/>
        <v/>
      </c>
      <c r="AC83" s="140" t="str">
        <f t="array" ref="AC83">IF(AB83="","",IFERROR(INDEX(HELPER!$D$8:$D$48,IF(AB83&gt;=HELPER!$B$8,1,MATCH(AB83,HELPER!$B$8:$B$48,-1)+1)),""))</f>
        <v/>
      </c>
      <c r="AD83" s="141" t="str">
        <f>IF(AC83="","",IFERROR(VLOOKUP(AC83,HELPER!$F$8:$G$48,2,FALSE),""))</f>
        <v/>
      </c>
      <c r="AE83" s="6"/>
      <c r="AF83" s="12"/>
    </row>
    <row r="84" ht="15.0" customHeight="1">
      <c r="A84" s="6"/>
      <c r="B84" s="201">
        <v>16.0</v>
      </c>
      <c r="C84" s="202" t="str">
        <f>IF('INPUT DATA'!N26="","",'INPUT DATA'!N26)</f>
        <v/>
      </c>
      <c r="D84" s="203"/>
      <c r="E84" s="204"/>
      <c r="F84" s="128"/>
      <c r="G84" s="129"/>
      <c r="H84" s="129"/>
      <c r="I84" s="129"/>
      <c r="J84" s="130"/>
      <c r="K84" s="132" t="str">
        <f t="shared" si="13"/>
        <v/>
      </c>
      <c r="L84" s="133" t="str">
        <f t="shared" si="14"/>
        <v/>
      </c>
      <c r="M84" s="134" t="str">
        <f t="shared" si="15"/>
        <v/>
      </c>
      <c r="N84" s="128"/>
      <c r="O84" s="129"/>
      <c r="P84" s="130"/>
      <c r="Q84" s="132" t="str">
        <f t="shared" si="16"/>
        <v/>
      </c>
      <c r="R84" s="133" t="str">
        <f t="shared" si="17"/>
        <v/>
      </c>
      <c r="S84" s="134" t="str">
        <f t="shared" si="18"/>
        <v/>
      </c>
      <c r="T84" s="128"/>
      <c r="U84" s="129"/>
      <c r="V84" s="130"/>
      <c r="W84" s="136" t="str">
        <f t="shared" si="19"/>
        <v/>
      </c>
      <c r="X84" s="133" t="str">
        <f t="shared" si="20"/>
        <v/>
      </c>
      <c r="Y84" s="134" t="str">
        <f t="shared" si="21"/>
        <v/>
      </c>
      <c r="Z84" s="137" t="str">
        <f t="shared" si="22"/>
        <v/>
      </c>
      <c r="AA84" s="138" t="str">
        <f t="shared" si="23"/>
        <v/>
      </c>
      <c r="AB84" s="139" t="str">
        <f t="shared" si="24"/>
        <v/>
      </c>
      <c r="AC84" s="140" t="str">
        <f t="array" ref="AC84">IF(AB84="","",IFERROR(INDEX(HELPER!$D$8:$D$48,IF(AB84&gt;=HELPER!$B$8,1,MATCH(AB84,HELPER!$B$8:$B$48,-1)+1)),""))</f>
        <v/>
      </c>
      <c r="AD84" s="141" t="str">
        <f>IF(AC84="","",IFERROR(VLOOKUP(AC84,HELPER!$F$8:$G$48,2,FALSE),""))</f>
        <v/>
      </c>
      <c r="AE84" s="6"/>
      <c r="AF84" s="12"/>
    </row>
    <row r="85" ht="15.0" customHeight="1">
      <c r="A85" s="6"/>
      <c r="B85" s="201">
        <v>17.0</v>
      </c>
      <c r="C85" s="202" t="str">
        <f>IF('INPUT DATA'!N27="","",'INPUT DATA'!N27)</f>
        <v/>
      </c>
      <c r="D85" s="203"/>
      <c r="E85" s="204"/>
      <c r="F85" s="128"/>
      <c r="G85" s="129"/>
      <c r="H85" s="129"/>
      <c r="I85" s="129"/>
      <c r="J85" s="130"/>
      <c r="K85" s="132" t="str">
        <f t="shared" si="13"/>
        <v/>
      </c>
      <c r="L85" s="133" t="str">
        <f t="shared" si="14"/>
        <v/>
      </c>
      <c r="M85" s="134" t="str">
        <f t="shared" si="15"/>
        <v/>
      </c>
      <c r="N85" s="128"/>
      <c r="O85" s="129"/>
      <c r="P85" s="130"/>
      <c r="Q85" s="132" t="str">
        <f t="shared" si="16"/>
        <v/>
      </c>
      <c r="R85" s="133" t="str">
        <f t="shared" si="17"/>
        <v/>
      </c>
      <c r="S85" s="134" t="str">
        <f t="shared" si="18"/>
        <v/>
      </c>
      <c r="T85" s="128"/>
      <c r="U85" s="129"/>
      <c r="V85" s="130"/>
      <c r="W85" s="136" t="str">
        <f t="shared" si="19"/>
        <v/>
      </c>
      <c r="X85" s="133" t="str">
        <f t="shared" si="20"/>
        <v/>
      </c>
      <c r="Y85" s="134" t="str">
        <f t="shared" si="21"/>
        <v/>
      </c>
      <c r="Z85" s="137" t="str">
        <f t="shared" si="22"/>
        <v/>
      </c>
      <c r="AA85" s="138" t="str">
        <f t="shared" si="23"/>
        <v/>
      </c>
      <c r="AB85" s="139" t="str">
        <f t="shared" si="24"/>
        <v/>
      </c>
      <c r="AC85" s="140" t="str">
        <f t="array" ref="AC85">IF(AB85="","",IFERROR(INDEX(HELPER!$D$8:$D$48,IF(AB85&gt;=HELPER!$B$8,1,MATCH(AB85,HELPER!$B$8:$B$48,-1)+1)),""))</f>
        <v/>
      </c>
      <c r="AD85" s="141" t="str">
        <f>IF(AC85="","",IFERROR(VLOOKUP(AC85,HELPER!$F$8:$G$48,2,FALSE),""))</f>
        <v/>
      </c>
      <c r="AE85" s="6"/>
      <c r="AF85" s="12"/>
    </row>
    <row r="86" ht="15.0" customHeight="1">
      <c r="A86" s="6"/>
      <c r="B86" s="201">
        <v>18.0</v>
      </c>
      <c r="C86" s="202" t="str">
        <f>IF('INPUT DATA'!N28="","",'INPUT DATA'!N28)</f>
        <v/>
      </c>
      <c r="D86" s="203"/>
      <c r="E86" s="204"/>
      <c r="F86" s="128"/>
      <c r="G86" s="129"/>
      <c r="H86" s="129"/>
      <c r="I86" s="129"/>
      <c r="J86" s="130"/>
      <c r="K86" s="132" t="str">
        <f t="shared" si="13"/>
        <v/>
      </c>
      <c r="L86" s="133" t="str">
        <f t="shared" si="14"/>
        <v/>
      </c>
      <c r="M86" s="134" t="str">
        <f t="shared" si="15"/>
        <v/>
      </c>
      <c r="N86" s="128"/>
      <c r="O86" s="129"/>
      <c r="P86" s="130"/>
      <c r="Q86" s="132" t="str">
        <f t="shared" si="16"/>
        <v/>
      </c>
      <c r="R86" s="133" t="str">
        <f t="shared" si="17"/>
        <v/>
      </c>
      <c r="S86" s="134" t="str">
        <f t="shared" si="18"/>
        <v/>
      </c>
      <c r="T86" s="128"/>
      <c r="U86" s="129"/>
      <c r="V86" s="130"/>
      <c r="W86" s="136" t="str">
        <f t="shared" si="19"/>
        <v/>
      </c>
      <c r="X86" s="133" t="str">
        <f t="shared" si="20"/>
        <v/>
      </c>
      <c r="Y86" s="134" t="str">
        <f t="shared" si="21"/>
        <v/>
      </c>
      <c r="Z86" s="137" t="str">
        <f t="shared" si="22"/>
        <v/>
      </c>
      <c r="AA86" s="138" t="str">
        <f t="shared" si="23"/>
        <v/>
      </c>
      <c r="AB86" s="139" t="str">
        <f t="shared" si="24"/>
        <v/>
      </c>
      <c r="AC86" s="140" t="str">
        <f t="array" ref="AC86">IF(AB86="","",IFERROR(INDEX(HELPER!$D$8:$D$48,IF(AB86&gt;=HELPER!$B$8,1,MATCH(AB86,HELPER!$B$8:$B$48,-1)+1)),""))</f>
        <v/>
      </c>
      <c r="AD86" s="141" t="str">
        <f>IF(AC86="","",IFERROR(VLOOKUP(AC86,HELPER!$F$8:$G$48,2,FALSE),""))</f>
        <v/>
      </c>
      <c r="AE86" s="6"/>
      <c r="AF86" s="12"/>
    </row>
    <row r="87" ht="15.0" customHeight="1">
      <c r="A87" s="6"/>
      <c r="B87" s="201">
        <v>19.0</v>
      </c>
      <c r="C87" s="202" t="str">
        <f>IF('INPUT DATA'!N29="","",'INPUT DATA'!N29)</f>
        <v/>
      </c>
      <c r="D87" s="203"/>
      <c r="E87" s="204"/>
      <c r="F87" s="128"/>
      <c r="G87" s="129"/>
      <c r="H87" s="129"/>
      <c r="I87" s="129"/>
      <c r="J87" s="130"/>
      <c r="K87" s="132" t="str">
        <f t="shared" si="13"/>
        <v/>
      </c>
      <c r="L87" s="133" t="str">
        <f t="shared" si="14"/>
        <v/>
      </c>
      <c r="M87" s="134" t="str">
        <f t="shared" si="15"/>
        <v/>
      </c>
      <c r="N87" s="128"/>
      <c r="O87" s="129"/>
      <c r="P87" s="130"/>
      <c r="Q87" s="132" t="str">
        <f t="shared" si="16"/>
        <v/>
      </c>
      <c r="R87" s="133" t="str">
        <f t="shared" si="17"/>
        <v/>
      </c>
      <c r="S87" s="134" t="str">
        <f t="shared" si="18"/>
        <v/>
      </c>
      <c r="T87" s="128"/>
      <c r="U87" s="129"/>
      <c r="V87" s="130"/>
      <c r="W87" s="136" t="str">
        <f t="shared" si="19"/>
        <v/>
      </c>
      <c r="X87" s="133" t="str">
        <f t="shared" si="20"/>
        <v/>
      </c>
      <c r="Y87" s="134" t="str">
        <f t="shared" si="21"/>
        <v/>
      </c>
      <c r="Z87" s="137" t="str">
        <f t="shared" si="22"/>
        <v/>
      </c>
      <c r="AA87" s="138" t="str">
        <f t="shared" si="23"/>
        <v/>
      </c>
      <c r="AB87" s="139" t="str">
        <f t="shared" si="24"/>
        <v/>
      </c>
      <c r="AC87" s="140" t="str">
        <f t="array" ref="AC87">IF(AB87="","",IFERROR(INDEX(HELPER!$D$8:$D$48,IF(AB87&gt;=HELPER!$B$8,1,MATCH(AB87,HELPER!$B$8:$B$48,-1)+1)),""))</f>
        <v/>
      </c>
      <c r="AD87" s="141" t="str">
        <f>IF(AC87="","",IFERROR(VLOOKUP(AC87,HELPER!$F$8:$G$48,2,FALSE),""))</f>
        <v/>
      </c>
      <c r="AE87" s="6"/>
      <c r="AF87" s="12"/>
    </row>
    <row r="88" ht="15.0" customHeight="1">
      <c r="A88" s="6"/>
      <c r="B88" s="214">
        <v>20.0</v>
      </c>
      <c r="C88" s="202" t="str">
        <f>IF('INPUT DATA'!N30="","",'INPUT DATA'!N30)</f>
        <v/>
      </c>
      <c r="D88" s="203"/>
      <c r="E88" s="204"/>
      <c r="F88" s="128"/>
      <c r="G88" s="129"/>
      <c r="H88" s="129"/>
      <c r="I88" s="129"/>
      <c r="J88" s="130"/>
      <c r="K88" s="132" t="str">
        <f t="shared" si="13"/>
        <v/>
      </c>
      <c r="L88" s="133" t="str">
        <f t="shared" si="14"/>
        <v/>
      </c>
      <c r="M88" s="134" t="str">
        <f t="shared" si="15"/>
        <v/>
      </c>
      <c r="N88" s="128"/>
      <c r="O88" s="129"/>
      <c r="P88" s="130"/>
      <c r="Q88" s="132" t="str">
        <f t="shared" si="16"/>
        <v/>
      </c>
      <c r="R88" s="133" t="str">
        <f t="shared" si="17"/>
        <v/>
      </c>
      <c r="S88" s="134" t="str">
        <f t="shared" si="18"/>
        <v/>
      </c>
      <c r="T88" s="128"/>
      <c r="U88" s="129"/>
      <c r="V88" s="130"/>
      <c r="W88" s="136" t="str">
        <f t="shared" si="19"/>
        <v/>
      </c>
      <c r="X88" s="133" t="str">
        <f t="shared" si="20"/>
        <v/>
      </c>
      <c r="Y88" s="134" t="str">
        <f t="shared" si="21"/>
        <v/>
      </c>
      <c r="Z88" s="137" t="str">
        <f t="shared" si="22"/>
        <v/>
      </c>
      <c r="AA88" s="138" t="str">
        <f t="shared" si="23"/>
        <v/>
      </c>
      <c r="AB88" s="139" t="str">
        <f t="shared" si="24"/>
        <v/>
      </c>
      <c r="AC88" s="140" t="str">
        <f t="array" ref="AC88">IF(AB88="","",IFERROR(INDEX(HELPER!$D$8:$D$48,IF(AB88&gt;=HELPER!$B$8,1,MATCH(AB88,HELPER!$B$8:$B$48,-1)+1)),""))</f>
        <v/>
      </c>
      <c r="AD88" s="141" t="str">
        <f>IF(AC88="","",IFERROR(VLOOKUP(AC88,HELPER!$F$8:$G$48,2,FALSE),""))</f>
        <v/>
      </c>
      <c r="AE88" s="6"/>
      <c r="AF88" s="12"/>
    </row>
    <row r="89" ht="15.0" customHeight="1">
      <c r="A89" s="6"/>
      <c r="B89" s="214">
        <v>21.0</v>
      </c>
      <c r="C89" s="202" t="str">
        <f>IF('INPUT DATA'!N31="","",'INPUT DATA'!N31)</f>
        <v/>
      </c>
      <c r="D89" s="203"/>
      <c r="E89" s="204"/>
      <c r="F89" s="128"/>
      <c r="G89" s="129"/>
      <c r="H89" s="129"/>
      <c r="I89" s="129"/>
      <c r="J89" s="130"/>
      <c r="K89" s="132" t="str">
        <f t="shared" si="13"/>
        <v/>
      </c>
      <c r="L89" s="133" t="str">
        <f t="shared" si="14"/>
        <v/>
      </c>
      <c r="M89" s="134" t="str">
        <f t="shared" si="15"/>
        <v/>
      </c>
      <c r="N89" s="128"/>
      <c r="O89" s="129"/>
      <c r="P89" s="130"/>
      <c r="Q89" s="132" t="str">
        <f t="shared" si="16"/>
        <v/>
      </c>
      <c r="R89" s="133" t="str">
        <f t="shared" si="17"/>
        <v/>
      </c>
      <c r="S89" s="134" t="str">
        <f t="shared" si="18"/>
        <v/>
      </c>
      <c r="T89" s="128"/>
      <c r="U89" s="129"/>
      <c r="V89" s="130"/>
      <c r="W89" s="136" t="str">
        <f t="shared" si="19"/>
        <v/>
      </c>
      <c r="X89" s="133" t="str">
        <f t="shared" si="20"/>
        <v/>
      </c>
      <c r="Y89" s="134" t="str">
        <f t="shared" si="21"/>
        <v/>
      </c>
      <c r="Z89" s="137" t="str">
        <f t="shared" si="22"/>
        <v/>
      </c>
      <c r="AA89" s="138" t="str">
        <f t="shared" si="23"/>
        <v/>
      </c>
      <c r="AB89" s="139" t="str">
        <f t="shared" si="24"/>
        <v/>
      </c>
      <c r="AC89" s="140" t="str">
        <f t="array" ref="AC89">IF(AB89="","",IFERROR(INDEX(HELPER!$D$8:$D$48,IF(AB89&gt;=HELPER!$B$8,1,MATCH(AB89,HELPER!$B$8:$B$48,-1)+1)),""))</f>
        <v/>
      </c>
      <c r="AD89" s="141" t="str">
        <f>IF(AC89="","",IFERROR(VLOOKUP(AC89,HELPER!$F$8:$G$48,2,FALSE),""))</f>
        <v/>
      </c>
      <c r="AE89" s="6"/>
      <c r="AF89" s="12"/>
    </row>
    <row r="90" ht="15.0" customHeight="1">
      <c r="A90" s="6"/>
      <c r="B90" s="214">
        <v>22.0</v>
      </c>
      <c r="C90" s="202" t="str">
        <f>IF('INPUT DATA'!N32="","",'INPUT DATA'!N32)</f>
        <v/>
      </c>
      <c r="D90" s="203"/>
      <c r="E90" s="204"/>
      <c r="F90" s="128"/>
      <c r="G90" s="129"/>
      <c r="H90" s="129"/>
      <c r="I90" s="129"/>
      <c r="J90" s="130"/>
      <c r="K90" s="132" t="str">
        <f t="shared" si="13"/>
        <v/>
      </c>
      <c r="L90" s="133" t="str">
        <f t="shared" si="14"/>
        <v/>
      </c>
      <c r="M90" s="134" t="str">
        <f t="shared" si="15"/>
        <v/>
      </c>
      <c r="N90" s="128"/>
      <c r="O90" s="129"/>
      <c r="P90" s="130"/>
      <c r="Q90" s="132" t="str">
        <f t="shared" si="16"/>
        <v/>
      </c>
      <c r="R90" s="133" t="str">
        <f t="shared" si="17"/>
        <v/>
      </c>
      <c r="S90" s="134" t="str">
        <f t="shared" si="18"/>
        <v/>
      </c>
      <c r="T90" s="128"/>
      <c r="U90" s="129"/>
      <c r="V90" s="130"/>
      <c r="W90" s="136" t="str">
        <f t="shared" si="19"/>
        <v/>
      </c>
      <c r="X90" s="133" t="str">
        <f t="shared" si="20"/>
        <v/>
      </c>
      <c r="Y90" s="134" t="str">
        <f t="shared" si="21"/>
        <v/>
      </c>
      <c r="Z90" s="137" t="str">
        <f t="shared" si="22"/>
        <v/>
      </c>
      <c r="AA90" s="138" t="str">
        <f t="shared" si="23"/>
        <v/>
      </c>
      <c r="AB90" s="139" t="str">
        <f t="shared" si="24"/>
        <v/>
      </c>
      <c r="AC90" s="140" t="str">
        <f t="array" ref="AC90">IF(AB90="","",IFERROR(INDEX(HELPER!$D$8:$D$48,IF(AB90&gt;=HELPER!$B$8,1,MATCH(AB90,HELPER!$B$8:$B$48,-1)+1)),""))</f>
        <v/>
      </c>
      <c r="AD90" s="141" t="str">
        <f>IF(AC90="","",IFERROR(VLOOKUP(AC90,HELPER!$F$8:$G$48,2,FALSE),""))</f>
        <v/>
      </c>
      <c r="AE90" s="6"/>
      <c r="AF90" s="12"/>
    </row>
    <row r="91" ht="15.0" customHeight="1">
      <c r="A91" s="6"/>
      <c r="B91" s="214">
        <v>23.0</v>
      </c>
      <c r="C91" s="202" t="str">
        <f>IF('INPUT DATA'!N33="","",'INPUT DATA'!N33)</f>
        <v/>
      </c>
      <c r="D91" s="203"/>
      <c r="E91" s="204"/>
      <c r="F91" s="128"/>
      <c r="G91" s="129"/>
      <c r="H91" s="129"/>
      <c r="I91" s="129"/>
      <c r="J91" s="130"/>
      <c r="K91" s="132" t="str">
        <f t="shared" si="13"/>
        <v/>
      </c>
      <c r="L91" s="133" t="str">
        <f t="shared" si="14"/>
        <v/>
      </c>
      <c r="M91" s="134" t="str">
        <f t="shared" si="15"/>
        <v/>
      </c>
      <c r="N91" s="128"/>
      <c r="O91" s="129"/>
      <c r="P91" s="130"/>
      <c r="Q91" s="132" t="str">
        <f t="shared" si="16"/>
        <v/>
      </c>
      <c r="R91" s="133" t="str">
        <f t="shared" si="17"/>
        <v/>
      </c>
      <c r="S91" s="134" t="str">
        <f t="shared" si="18"/>
        <v/>
      </c>
      <c r="T91" s="128"/>
      <c r="U91" s="129"/>
      <c r="V91" s="130"/>
      <c r="W91" s="136" t="str">
        <f t="shared" si="19"/>
        <v/>
      </c>
      <c r="X91" s="133" t="str">
        <f t="shared" si="20"/>
        <v/>
      </c>
      <c r="Y91" s="134" t="str">
        <f t="shared" si="21"/>
        <v/>
      </c>
      <c r="Z91" s="137" t="str">
        <f t="shared" si="22"/>
        <v/>
      </c>
      <c r="AA91" s="138" t="str">
        <f t="shared" si="23"/>
        <v/>
      </c>
      <c r="AB91" s="139" t="str">
        <f t="shared" si="24"/>
        <v/>
      </c>
      <c r="AC91" s="140" t="str">
        <f t="array" ref="AC91">IF(AB91="","",IFERROR(INDEX(HELPER!$D$8:$D$48,IF(AB91&gt;=HELPER!$B$8,1,MATCH(AB91,HELPER!$B$8:$B$48,-1)+1)),""))</f>
        <v/>
      </c>
      <c r="AD91" s="141" t="str">
        <f>IF(AC91="","",IFERROR(VLOOKUP(AC91,HELPER!$F$8:$G$48,2,FALSE),""))</f>
        <v/>
      </c>
      <c r="AE91" s="6"/>
      <c r="AF91" s="12"/>
    </row>
    <row r="92" ht="15.0" customHeight="1">
      <c r="A92" s="6"/>
      <c r="B92" s="214">
        <v>24.0</v>
      </c>
      <c r="C92" s="202" t="str">
        <f>IF('INPUT DATA'!N34="","",'INPUT DATA'!N34)</f>
        <v/>
      </c>
      <c r="D92" s="203"/>
      <c r="E92" s="204"/>
      <c r="F92" s="128"/>
      <c r="G92" s="129"/>
      <c r="H92" s="129"/>
      <c r="I92" s="129"/>
      <c r="J92" s="130"/>
      <c r="K92" s="132" t="str">
        <f t="shared" si="13"/>
        <v/>
      </c>
      <c r="L92" s="133" t="str">
        <f t="shared" si="14"/>
        <v/>
      </c>
      <c r="M92" s="134" t="str">
        <f t="shared" si="15"/>
        <v/>
      </c>
      <c r="N92" s="128"/>
      <c r="O92" s="129"/>
      <c r="P92" s="130"/>
      <c r="Q92" s="132" t="str">
        <f t="shared" si="16"/>
        <v/>
      </c>
      <c r="R92" s="133" t="str">
        <f t="shared" si="17"/>
        <v/>
      </c>
      <c r="S92" s="134" t="str">
        <f t="shared" si="18"/>
        <v/>
      </c>
      <c r="T92" s="128"/>
      <c r="U92" s="129"/>
      <c r="V92" s="130"/>
      <c r="W92" s="136" t="str">
        <f t="shared" si="19"/>
        <v/>
      </c>
      <c r="X92" s="133" t="str">
        <f t="shared" si="20"/>
        <v/>
      </c>
      <c r="Y92" s="134" t="str">
        <f t="shared" si="21"/>
        <v/>
      </c>
      <c r="Z92" s="137" t="str">
        <f t="shared" si="22"/>
        <v/>
      </c>
      <c r="AA92" s="138" t="str">
        <f t="shared" si="23"/>
        <v/>
      </c>
      <c r="AB92" s="139" t="str">
        <f t="shared" si="24"/>
        <v/>
      </c>
      <c r="AC92" s="140" t="str">
        <f t="array" ref="AC92">IF(AB92="","",IFERROR(INDEX(HELPER!$D$8:$D$48,IF(AB92&gt;=HELPER!$B$8,1,MATCH(AB92,HELPER!$B$8:$B$48,-1)+1)),""))</f>
        <v/>
      </c>
      <c r="AD92" s="141" t="str">
        <f>IF(AC92="","",IFERROR(VLOOKUP(AC92,HELPER!$F$8:$G$48,2,FALSE),""))</f>
        <v/>
      </c>
      <c r="AE92" s="6"/>
      <c r="AF92" s="12"/>
    </row>
    <row r="93" ht="15.0" customHeight="1">
      <c r="A93" s="6"/>
      <c r="B93" s="214">
        <v>25.0</v>
      </c>
      <c r="C93" s="202" t="str">
        <f>IF('INPUT DATA'!N35="","",'INPUT DATA'!N35)</f>
        <v/>
      </c>
      <c r="D93" s="203"/>
      <c r="E93" s="204"/>
      <c r="F93" s="128"/>
      <c r="G93" s="129"/>
      <c r="H93" s="129"/>
      <c r="I93" s="129"/>
      <c r="J93" s="130"/>
      <c r="K93" s="132" t="str">
        <f t="shared" si="13"/>
        <v/>
      </c>
      <c r="L93" s="133" t="str">
        <f t="shared" si="14"/>
        <v/>
      </c>
      <c r="M93" s="134" t="str">
        <f t="shared" si="15"/>
        <v/>
      </c>
      <c r="N93" s="128"/>
      <c r="O93" s="129"/>
      <c r="P93" s="130"/>
      <c r="Q93" s="132" t="str">
        <f t="shared" si="16"/>
        <v/>
      </c>
      <c r="R93" s="133" t="str">
        <f t="shared" si="17"/>
        <v/>
      </c>
      <c r="S93" s="134" t="str">
        <f t="shared" si="18"/>
        <v/>
      </c>
      <c r="T93" s="128"/>
      <c r="U93" s="129"/>
      <c r="V93" s="130"/>
      <c r="W93" s="136" t="str">
        <f t="shared" si="19"/>
        <v/>
      </c>
      <c r="X93" s="133" t="str">
        <f t="shared" si="20"/>
        <v/>
      </c>
      <c r="Y93" s="134" t="str">
        <f t="shared" si="21"/>
        <v/>
      </c>
      <c r="Z93" s="137" t="str">
        <f t="shared" si="22"/>
        <v/>
      </c>
      <c r="AA93" s="138" t="str">
        <f t="shared" si="23"/>
        <v/>
      </c>
      <c r="AB93" s="139" t="str">
        <f t="shared" si="24"/>
        <v/>
      </c>
      <c r="AC93" s="140" t="str">
        <f t="array" ref="AC93">IF(AB93="","",IFERROR(INDEX(HELPER!$D$8:$D$48,IF(AB93&gt;=HELPER!$B$8,1,MATCH(AB93,HELPER!$B$8:$B$48,-1)+1)),""))</f>
        <v/>
      </c>
      <c r="AD93" s="141" t="str">
        <f>IF(AC93="","",IFERROR(VLOOKUP(AC93,HELPER!$F$8:$G$48,2,FALSE),""))</f>
        <v/>
      </c>
      <c r="AE93" s="6"/>
      <c r="AF93" s="12"/>
    </row>
    <row r="94" ht="15.0" customHeight="1">
      <c r="A94" s="6"/>
      <c r="B94" s="214">
        <v>26.0</v>
      </c>
      <c r="C94" s="202" t="str">
        <f>IF('INPUT DATA'!N36="","",'INPUT DATA'!N36)</f>
        <v/>
      </c>
      <c r="D94" s="203"/>
      <c r="E94" s="204"/>
      <c r="F94" s="128"/>
      <c r="G94" s="129"/>
      <c r="H94" s="129"/>
      <c r="I94" s="129"/>
      <c r="J94" s="130"/>
      <c r="K94" s="132" t="str">
        <f t="shared" si="13"/>
        <v/>
      </c>
      <c r="L94" s="133" t="str">
        <f t="shared" si="14"/>
        <v/>
      </c>
      <c r="M94" s="134" t="str">
        <f t="shared" si="15"/>
        <v/>
      </c>
      <c r="N94" s="128"/>
      <c r="O94" s="129"/>
      <c r="P94" s="130"/>
      <c r="Q94" s="132" t="str">
        <f t="shared" si="16"/>
        <v/>
      </c>
      <c r="R94" s="133" t="str">
        <f t="shared" si="17"/>
        <v/>
      </c>
      <c r="S94" s="134" t="str">
        <f t="shared" si="18"/>
        <v/>
      </c>
      <c r="T94" s="128"/>
      <c r="U94" s="129"/>
      <c r="V94" s="130"/>
      <c r="W94" s="136" t="str">
        <f t="shared" si="19"/>
        <v/>
      </c>
      <c r="X94" s="133" t="str">
        <f t="shared" si="20"/>
        <v/>
      </c>
      <c r="Y94" s="134" t="str">
        <f t="shared" si="21"/>
        <v/>
      </c>
      <c r="Z94" s="137" t="str">
        <f t="shared" si="22"/>
        <v/>
      </c>
      <c r="AA94" s="138" t="str">
        <f t="shared" si="23"/>
        <v/>
      </c>
      <c r="AB94" s="139" t="str">
        <f t="shared" si="24"/>
        <v/>
      </c>
      <c r="AC94" s="140" t="str">
        <f t="array" ref="AC94">IF(AB94="","",IFERROR(INDEX(HELPER!$D$8:$D$48,IF(AB94&gt;=HELPER!$B$8,1,MATCH(AB94,HELPER!$B$8:$B$48,-1)+1)),""))</f>
        <v/>
      </c>
      <c r="AD94" s="141" t="str">
        <f>IF(AC94="","",IFERROR(VLOOKUP(AC94,HELPER!$F$8:$G$48,2,FALSE),""))</f>
        <v/>
      </c>
      <c r="AE94" s="6"/>
      <c r="AF94" s="12"/>
    </row>
    <row r="95" ht="15.0" customHeight="1">
      <c r="A95" s="6"/>
      <c r="B95" s="214">
        <v>27.0</v>
      </c>
      <c r="C95" s="202" t="str">
        <f>IF('INPUT DATA'!N37="","",'INPUT DATA'!N37)</f>
        <v/>
      </c>
      <c r="D95" s="203"/>
      <c r="E95" s="204"/>
      <c r="F95" s="128"/>
      <c r="G95" s="129"/>
      <c r="H95" s="129"/>
      <c r="I95" s="129"/>
      <c r="J95" s="130"/>
      <c r="K95" s="132" t="str">
        <f t="shared" si="13"/>
        <v/>
      </c>
      <c r="L95" s="133" t="str">
        <f t="shared" si="14"/>
        <v/>
      </c>
      <c r="M95" s="134" t="str">
        <f t="shared" si="15"/>
        <v/>
      </c>
      <c r="N95" s="128"/>
      <c r="O95" s="129"/>
      <c r="P95" s="130"/>
      <c r="Q95" s="132" t="str">
        <f t="shared" si="16"/>
        <v/>
      </c>
      <c r="R95" s="133" t="str">
        <f t="shared" si="17"/>
        <v/>
      </c>
      <c r="S95" s="134" t="str">
        <f t="shared" si="18"/>
        <v/>
      </c>
      <c r="T95" s="128"/>
      <c r="U95" s="129"/>
      <c r="V95" s="130"/>
      <c r="W95" s="136" t="str">
        <f t="shared" si="19"/>
        <v/>
      </c>
      <c r="X95" s="133" t="str">
        <f t="shared" si="20"/>
        <v/>
      </c>
      <c r="Y95" s="134" t="str">
        <f t="shared" si="21"/>
        <v/>
      </c>
      <c r="Z95" s="137" t="str">
        <f t="shared" si="22"/>
        <v/>
      </c>
      <c r="AA95" s="138" t="str">
        <f t="shared" si="23"/>
        <v/>
      </c>
      <c r="AB95" s="139" t="str">
        <f t="shared" si="24"/>
        <v/>
      </c>
      <c r="AC95" s="140" t="str">
        <f t="array" ref="AC95">IF(AB95="","",IFERROR(INDEX(HELPER!$D$8:$D$48,IF(AB95&gt;=HELPER!$B$8,1,MATCH(AB95,HELPER!$B$8:$B$48,-1)+1)),""))</f>
        <v/>
      </c>
      <c r="AD95" s="141" t="str">
        <f>IF(AC95="","",IFERROR(VLOOKUP(AC95,HELPER!$F$8:$G$48,2,FALSE),""))</f>
        <v/>
      </c>
      <c r="AE95" s="6"/>
      <c r="AF95" s="12"/>
    </row>
    <row r="96" ht="15.0" customHeight="1">
      <c r="A96" s="6"/>
      <c r="B96" s="214">
        <v>28.0</v>
      </c>
      <c r="C96" s="202" t="str">
        <f>IF('INPUT DATA'!N38="","",'INPUT DATA'!N38)</f>
        <v/>
      </c>
      <c r="D96" s="203"/>
      <c r="E96" s="204"/>
      <c r="F96" s="128"/>
      <c r="G96" s="129"/>
      <c r="H96" s="129"/>
      <c r="I96" s="129"/>
      <c r="J96" s="130"/>
      <c r="K96" s="132" t="str">
        <f t="shared" si="13"/>
        <v/>
      </c>
      <c r="L96" s="133" t="str">
        <f t="shared" si="14"/>
        <v/>
      </c>
      <c r="M96" s="134" t="str">
        <f t="shared" si="15"/>
        <v/>
      </c>
      <c r="N96" s="128"/>
      <c r="O96" s="129"/>
      <c r="P96" s="130"/>
      <c r="Q96" s="132" t="str">
        <f t="shared" si="16"/>
        <v/>
      </c>
      <c r="R96" s="133" t="str">
        <f t="shared" si="17"/>
        <v/>
      </c>
      <c r="S96" s="134" t="str">
        <f t="shared" si="18"/>
        <v/>
      </c>
      <c r="T96" s="128"/>
      <c r="U96" s="129"/>
      <c r="V96" s="130"/>
      <c r="W96" s="136" t="str">
        <f t="shared" si="19"/>
        <v/>
      </c>
      <c r="X96" s="133" t="str">
        <f t="shared" si="20"/>
        <v/>
      </c>
      <c r="Y96" s="134" t="str">
        <f t="shared" si="21"/>
        <v/>
      </c>
      <c r="Z96" s="137" t="str">
        <f t="shared" si="22"/>
        <v/>
      </c>
      <c r="AA96" s="138" t="str">
        <f t="shared" si="23"/>
        <v/>
      </c>
      <c r="AB96" s="139" t="str">
        <f t="shared" si="24"/>
        <v/>
      </c>
      <c r="AC96" s="140" t="str">
        <f t="array" ref="AC96">IF(AB96="","",IFERROR(INDEX(HELPER!$D$8:$D$48,IF(AB96&gt;=HELPER!$B$8,1,MATCH(AB96,HELPER!$B$8:$B$48,-1)+1)),""))</f>
        <v/>
      </c>
      <c r="AD96" s="141" t="str">
        <f>IF(AC96="","",IFERROR(VLOOKUP(AC96,HELPER!$F$8:$G$48,2,FALSE),""))</f>
        <v/>
      </c>
      <c r="AE96" s="6"/>
      <c r="AF96" s="12"/>
    </row>
    <row r="97" ht="15.0" customHeight="1">
      <c r="A97" s="6"/>
      <c r="B97" s="214">
        <v>29.0</v>
      </c>
      <c r="C97" s="202" t="str">
        <f>IF('INPUT DATA'!N39="","",'INPUT DATA'!N39)</f>
        <v/>
      </c>
      <c r="D97" s="203"/>
      <c r="E97" s="204"/>
      <c r="F97" s="128"/>
      <c r="G97" s="129"/>
      <c r="H97" s="129"/>
      <c r="I97" s="129"/>
      <c r="J97" s="130"/>
      <c r="K97" s="132" t="str">
        <f t="shared" si="13"/>
        <v/>
      </c>
      <c r="L97" s="133" t="str">
        <f t="shared" si="14"/>
        <v/>
      </c>
      <c r="M97" s="134" t="str">
        <f t="shared" si="15"/>
        <v/>
      </c>
      <c r="N97" s="128"/>
      <c r="O97" s="129"/>
      <c r="P97" s="130"/>
      <c r="Q97" s="132" t="str">
        <f t="shared" si="16"/>
        <v/>
      </c>
      <c r="R97" s="133" t="str">
        <f t="shared" si="17"/>
        <v/>
      </c>
      <c r="S97" s="134" t="str">
        <f t="shared" si="18"/>
        <v/>
      </c>
      <c r="T97" s="128"/>
      <c r="U97" s="129"/>
      <c r="V97" s="130"/>
      <c r="W97" s="136" t="str">
        <f t="shared" si="19"/>
        <v/>
      </c>
      <c r="X97" s="133" t="str">
        <f t="shared" si="20"/>
        <v/>
      </c>
      <c r="Y97" s="134" t="str">
        <f t="shared" si="21"/>
        <v/>
      </c>
      <c r="Z97" s="137" t="str">
        <f t="shared" si="22"/>
        <v/>
      </c>
      <c r="AA97" s="138" t="str">
        <f t="shared" si="23"/>
        <v/>
      </c>
      <c r="AB97" s="139" t="str">
        <f t="shared" si="24"/>
        <v/>
      </c>
      <c r="AC97" s="140" t="str">
        <f t="array" ref="AC97">IF(AB97="","",IFERROR(INDEX(HELPER!$D$8:$D$48,IF(AB97&gt;=HELPER!$B$8,1,MATCH(AB97,HELPER!$B$8:$B$48,-1)+1)),""))</f>
        <v/>
      </c>
      <c r="AD97" s="141" t="str">
        <f>IF(AC97="","",IFERROR(VLOOKUP(AC97,HELPER!$F$8:$G$48,2,FALSE),""))</f>
        <v/>
      </c>
      <c r="AE97" s="6"/>
      <c r="AF97" s="12"/>
    </row>
    <row r="98" ht="15.0" customHeight="1">
      <c r="A98" s="6"/>
      <c r="B98" s="214">
        <v>30.0</v>
      </c>
      <c r="C98" s="202" t="str">
        <f>IF('INPUT DATA'!N40="","",'INPUT DATA'!N40)</f>
        <v/>
      </c>
      <c r="D98" s="203"/>
      <c r="E98" s="204"/>
      <c r="F98" s="128"/>
      <c r="G98" s="129"/>
      <c r="H98" s="129"/>
      <c r="I98" s="129"/>
      <c r="J98" s="130"/>
      <c r="K98" s="132" t="str">
        <f t="shared" si="13"/>
        <v/>
      </c>
      <c r="L98" s="133" t="str">
        <f t="shared" si="14"/>
        <v/>
      </c>
      <c r="M98" s="134" t="str">
        <f t="shared" si="15"/>
        <v/>
      </c>
      <c r="N98" s="128"/>
      <c r="O98" s="129"/>
      <c r="P98" s="130"/>
      <c r="Q98" s="132" t="str">
        <f t="shared" si="16"/>
        <v/>
      </c>
      <c r="R98" s="133" t="str">
        <f t="shared" si="17"/>
        <v/>
      </c>
      <c r="S98" s="134" t="str">
        <f t="shared" si="18"/>
        <v/>
      </c>
      <c r="T98" s="128"/>
      <c r="U98" s="129"/>
      <c r="V98" s="130"/>
      <c r="W98" s="136" t="str">
        <f t="shared" si="19"/>
        <v/>
      </c>
      <c r="X98" s="133" t="str">
        <f t="shared" si="20"/>
        <v/>
      </c>
      <c r="Y98" s="134" t="str">
        <f t="shared" si="21"/>
        <v/>
      </c>
      <c r="Z98" s="137" t="str">
        <f t="shared" si="22"/>
        <v/>
      </c>
      <c r="AA98" s="138" t="str">
        <f t="shared" si="23"/>
        <v/>
      </c>
      <c r="AB98" s="139" t="str">
        <f t="shared" si="24"/>
        <v/>
      </c>
      <c r="AC98" s="140" t="str">
        <f t="array" ref="AC98">IF(AB98="","",IFERROR(INDEX(HELPER!$D$8:$D$48,IF(AB98&gt;=HELPER!$B$8,1,MATCH(AB98,HELPER!$B$8:$B$48,-1)+1)),""))</f>
        <v/>
      </c>
      <c r="AD98" s="141" t="str">
        <f>IF(AC98="","",IFERROR(VLOOKUP(AC98,HELPER!$F$8:$G$48,2,FALSE),""))</f>
        <v/>
      </c>
      <c r="AE98" s="6"/>
      <c r="AF98" s="12"/>
    </row>
    <row r="99" ht="15.0" customHeight="1">
      <c r="A99" s="6"/>
      <c r="B99" s="214">
        <v>31.0</v>
      </c>
      <c r="C99" s="202" t="str">
        <f>IF('INPUT DATA'!N41="","",'INPUT DATA'!N41)</f>
        <v/>
      </c>
      <c r="D99" s="203"/>
      <c r="E99" s="204"/>
      <c r="F99" s="128"/>
      <c r="G99" s="129"/>
      <c r="H99" s="129"/>
      <c r="I99" s="129"/>
      <c r="J99" s="130"/>
      <c r="K99" s="132" t="str">
        <f t="shared" si="13"/>
        <v/>
      </c>
      <c r="L99" s="133" t="str">
        <f t="shared" si="14"/>
        <v/>
      </c>
      <c r="M99" s="134" t="str">
        <f t="shared" si="15"/>
        <v/>
      </c>
      <c r="N99" s="128"/>
      <c r="O99" s="129"/>
      <c r="P99" s="130"/>
      <c r="Q99" s="132" t="str">
        <f t="shared" si="16"/>
        <v/>
      </c>
      <c r="R99" s="133" t="str">
        <f t="shared" si="17"/>
        <v/>
      </c>
      <c r="S99" s="134" t="str">
        <f t="shared" si="18"/>
        <v/>
      </c>
      <c r="T99" s="128"/>
      <c r="U99" s="129"/>
      <c r="V99" s="130"/>
      <c r="W99" s="136" t="str">
        <f t="shared" si="19"/>
        <v/>
      </c>
      <c r="X99" s="133" t="str">
        <f t="shared" si="20"/>
        <v/>
      </c>
      <c r="Y99" s="134" t="str">
        <f t="shared" si="21"/>
        <v/>
      </c>
      <c r="Z99" s="137" t="str">
        <f t="shared" si="22"/>
        <v/>
      </c>
      <c r="AA99" s="138" t="str">
        <f t="shared" si="23"/>
        <v/>
      </c>
      <c r="AB99" s="139" t="str">
        <f t="shared" si="24"/>
        <v/>
      </c>
      <c r="AC99" s="140" t="str">
        <f t="array" ref="AC99">IF(AB99="","",IFERROR(INDEX(HELPER!$D$8:$D$48,IF(AB99&gt;=HELPER!$B$8,1,MATCH(AB99,HELPER!$B$8:$B$48,-1)+1)),""))</f>
        <v/>
      </c>
      <c r="AD99" s="141" t="str">
        <f>IF(AC99="","",IFERROR(VLOOKUP(AC99,HELPER!$F$8:$G$48,2,FALSE),""))</f>
        <v/>
      </c>
      <c r="AE99" s="6"/>
      <c r="AF99" s="12"/>
    </row>
    <row r="100" ht="15.0" customHeight="1">
      <c r="A100" s="6"/>
      <c r="B100" s="214">
        <v>32.0</v>
      </c>
      <c r="C100" s="202" t="str">
        <f>IF('INPUT DATA'!N42="","",'INPUT DATA'!N42)</f>
        <v/>
      </c>
      <c r="D100" s="203"/>
      <c r="E100" s="204"/>
      <c r="F100" s="128"/>
      <c r="G100" s="129"/>
      <c r="H100" s="129"/>
      <c r="I100" s="129"/>
      <c r="J100" s="130"/>
      <c r="K100" s="132" t="str">
        <f t="shared" si="13"/>
        <v/>
      </c>
      <c r="L100" s="133" t="str">
        <f t="shared" si="14"/>
        <v/>
      </c>
      <c r="M100" s="134" t="str">
        <f t="shared" si="15"/>
        <v/>
      </c>
      <c r="N100" s="128"/>
      <c r="O100" s="129"/>
      <c r="P100" s="130"/>
      <c r="Q100" s="132" t="str">
        <f t="shared" si="16"/>
        <v/>
      </c>
      <c r="R100" s="133" t="str">
        <f t="shared" si="17"/>
        <v/>
      </c>
      <c r="S100" s="134" t="str">
        <f t="shared" si="18"/>
        <v/>
      </c>
      <c r="T100" s="128"/>
      <c r="U100" s="129"/>
      <c r="V100" s="130"/>
      <c r="W100" s="136" t="str">
        <f t="shared" si="19"/>
        <v/>
      </c>
      <c r="X100" s="133" t="str">
        <f t="shared" si="20"/>
        <v/>
      </c>
      <c r="Y100" s="134" t="str">
        <f t="shared" si="21"/>
        <v/>
      </c>
      <c r="Z100" s="137" t="str">
        <f t="shared" si="22"/>
        <v/>
      </c>
      <c r="AA100" s="138" t="str">
        <f t="shared" si="23"/>
        <v/>
      </c>
      <c r="AB100" s="139" t="str">
        <f t="shared" si="24"/>
        <v/>
      </c>
      <c r="AC100" s="140" t="str">
        <f t="array" ref="AC100">IF(AB100="","",IFERROR(INDEX(HELPER!$D$8:$D$48,IF(AB100&gt;=HELPER!$B$8,1,MATCH(AB100,HELPER!$B$8:$B$48,-1)+1)),""))</f>
        <v/>
      </c>
      <c r="AD100" s="141" t="str">
        <f>IF(AC100="","",IFERROR(VLOOKUP(AC100,HELPER!$F$8:$G$48,2,FALSE),""))</f>
        <v/>
      </c>
      <c r="AE100" s="6"/>
      <c r="AF100" s="12"/>
    </row>
    <row r="101" ht="15.0" customHeight="1">
      <c r="A101" s="6"/>
      <c r="B101" s="214">
        <v>33.0</v>
      </c>
      <c r="C101" s="202" t="str">
        <f>IF('INPUT DATA'!N43="","",'INPUT DATA'!N43)</f>
        <v/>
      </c>
      <c r="D101" s="203"/>
      <c r="E101" s="204"/>
      <c r="F101" s="128"/>
      <c r="G101" s="129"/>
      <c r="H101" s="129"/>
      <c r="I101" s="129"/>
      <c r="J101" s="130"/>
      <c r="K101" s="132" t="str">
        <f t="shared" si="13"/>
        <v/>
      </c>
      <c r="L101" s="133" t="str">
        <f t="shared" si="14"/>
        <v/>
      </c>
      <c r="M101" s="134" t="str">
        <f t="shared" si="15"/>
        <v/>
      </c>
      <c r="N101" s="128"/>
      <c r="O101" s="129"/>
      <c r="P101" s="130"/>
      <c r="Q101" s="132" t="str">
        <f t="shared" si="16"/>
        <v/>
      </c>
      <c r="R101" s="133" t="str">
        <f t="shared" si="17"/>
        <v/>
      </c>
      <c r="S101" s="134" t="str">
        <f t="shared" si="18"/>
        <v/>
      </c>
      <c r="T101" s="128"/>
      <c r="U101" s="129"/>
      <c r="V101" s="130"/>
      <c r="W101" s="136" t="str">
        <f t="shared" si="19"/>
        <v/>
      </c>
      <c r="X101" s="133" t="str">
        <f t="shared" si="20"/>
        <v/>
      </c>
      <c r="Y101" s="134" t="str">
        <f t="shared" si="21"/>
        <v/>
      </c>
      <c r="Z101" s="137" t="str">
        <f t="shared" si="22"/>
        <v/>
      </c>
      <c r="AA101" s="138" t="str">
        <f t="shared" si="23"/>
        <v/>
      </c>
      <c r="AB101" s="139" t="str">
        <f t="shared" si="24"/>
        <v/>
      </c>
      <c r="AC101" s="140" t="str">
        <f t="array" ref="AC101">IF(AB101="","",IFERROR(INDEX(HELPER!$D$8:$D$48,IF(AB101&gt;=HELPER!$B$8,1,MATCH(AB101,HELPER!$B$8:$B$48,-1)+1)),""))</f>
        <v/>
      </c>
      <c r="AD101" s="141" t="str">
        <f>IF(AC101="","",IFERROR(VLOOKUP(AC101,HELPER!$F$8:$G$48,2,FALSE),""))</f>
        <v/>
      </c>
      <c r="AE101" s="6"/>
      <c r="AF101" s="12"/>
    </row>
    <row r="102" ht="15.0" customHeight="1">
      <c r="A102" s="6"/>
      <c r="B102" s="214">
        <v>34.0</v>
      </c>
      <c r="C102" s="202" t="str">
        <f>IF('INPUT DATA'!N44="","",'INPUT DATA'!N44)</f>
        <v/>
      </c>
      <c r="D102" s="203"/>
      <c r="E102" s="204"/>
      <c r="F102" s="128"/>
      <c r="G102" s="129"/>
      <c r="H102" s="129"/>
      <c r="I102" s="129"/>
      <c r="J102" s="130"/>
      <c r="K102" s="132" t="str">
        <f t="shared" si="13"/>
        <v/>
      </c>
      <c r="L102" s="133" t="str">
        <f t="shared" si="14"/>
        <v/>
      </c>
      <c r="M102" s="134" t="str">
        <f t="shared" si="15"/>
        <v/>
      </c>
      <c r="N102" s="128"/>
      <c r="O102" s="129"/>
      <c r="P102" s="130"/>
      <c r="Q102" s="132" t="str">
        <f t="shared" si="16"/>
        <v/>
      </c>
      <c r="R102" s="133" t="str">
        <f t="shared" si="17"/>
        <v/>
      </c>
      <c r="S102" s="134" t="str">
        <f t="shared" si="18"/>
        <v/>
      </c>
      <c r="T102" s="128"/>
      <c r="U102" s="129"/>
      <c r="V102" s="130"/>
      <c r="W102" s="136" t="str">
        <f t="shared" si="19"/>
        <v/>
      </c>
      <c r="X102" s="133" t="str">
        <f t="shared" si="20"/>
        <v/>
      </c>
      <c r="Y102" s="134" t="str">
        <f t="shared" si="21"/>
        <v/>
      </c>
      <c r="Z102" s="137" t="str">
        <f t="shared" si="22"/>
        <v/>
      </c>
      <c r="AA102" s="138" t="str">
        <f t="shared" si="23"/>
        <v/>
      </c>
      <c r="AB102" s="139" t="str">
        <f t="shared" si="24"/>
        <v/>
      </c>
      <c r="AC102" s="140" t="str">
        <f t="array" ref="AC102">IF(AB102="","",IFERROR(INDEX(HELPER!$D$8:$D$48,IF(AB102&gt;=HELPER!$B$8,1,MATCH(AB102,HELPER!$B$8:$B$48,-1)+1)),""))</f>
        <v/>
      </c>
      <c r="AD102" s="141" t="str">
        <f>IF(AC102="","",IFERROR(VLOOKUP(AC102,HELPER!$F$8:$G$48,2,FALSE),""))</f>
        <v/>
      </c>
      <c r="AE102" s="6"/>
      <c r="AF102" s="12"/>
    </row>
    <row r="103" ht="15.0" customHeight="1">
      <c r="A103" s="6"/>
      <c r="B103" s="214">
        <v>35.0</v>
      </c>
      <c r="C103" s="202" t="str">
        <f>IF('INPUT DATA'!N45="","",'INPUT DATA'!N45)</f>
        <v/>
      </c>
      <c r="D103" s="203"/>
      <c r="E103" s="204"/>
      <c r="F103" s="128"/>
      <c r="G103" s="129"/>
      <c r="H103" s="129"/>
      <c r="I103" s="129"/>
      <c r="J103" s="130"/>
      <c r="K103" s="132" t="str">
        <f t="shared" si="13"/>
        <v/>
      </c>
      <c r="L103" s="133" t="str">
        <f t="shared" si="14"/>
        <v/>
      </c>
      <c r="M103" s="134" t="str">
        <f t="shared" si="15"/>
        <v/>
      </c>
      <c r="N103" s="128"/>
      <c r="O103" s="129"/>
      <c r="P103" s="130"/>
      <c r="Q103" s="132" t="str">
        <f t="shared" si="16"/>
        <v/>
      </c>
      <c r="R103" s="133" t="str">
        <f t="shared" si="17"/>
        <v/>
      </c>
      <c r="S103" s="134" t="str">
        <f t="shared" si="18"/>
        <v/>
      </c>
      <c r="T103" s="128"/>
      <c r="U103" s="129"/>
      <c r="V103" s="130"/>
      <c r="W103" s="136" t="str">
        <f t="shared" si="19"/>
        <v/>
      </c>
      <c r="X103" s="133" t="str">
        <f t="shared" si="20"/>
        <v/>
      </c>
      <c r="Y103" s="134" t="str">
        <f t="shared" si="21"/>
        <v/>
      </c>
      <c r="Z103" s="137" t="str">
        <f t="shared" si="22"/>
        <v/>
      </c>
      <c r="AA103" s="138" t="str">
        <f t="shared" si="23"/>
        <v/>
      </c>
      <c r="AB103" s="139" t="str">
        <f t="shared" si="24"/>
        <v/>
      </c>
      <c r="AC103" s="140" t="str">
        <f t="array" ref="AC103">IF(AB103="","",IFERROR(INDEX(HELPER!$D$8:$D$48,IF(AB103&gt;=HELPER!$B$8,1,MATCH(AB103,HELPER!$B$8:$B$48,-1)+1)),""))</f>
        <v/>
      </c>
      <c r="AD103" s="141" t="str">
        <f>IF(AC103="","",IFERROR(VLOOKUP(AC103,HELPER!$F$8:$G$48,2,FALSE),""))</f>
        <v/>
      </c>
      <c r="AE103" s="6"/>
      <c r="AF103" s="12"/>
    </row>
    <row r="104" ht="15.0" customHeight="1">
      <c r="A104" s="6"/>
      <c r="B104" s="214">
        <v>36.0</v>
      </c>
      <c r="C104" s="202" t="str">
        <f>IF('INPUT DATA'!N46="","",'INPUT DATA'!N46)</f>
        <v/>
      </c>
      <c r="D104" s="203"/>
      <c r="E104" s="204"/>
      <c r="F104" s="128"/>
      <c r="G104" s="129"/>
      <c r="H104" s="129"/>
      <c r="I104" s="129"/>
      <c r="J104" s="130"/>
      <c r="K104" s="132" t="str">
        <f t="shared" si="13"/>
        <v/>
      </c>
      <c r="L104" s="133" t="str">
        <f t="shared" si="14"/>
        <v/>
      </c>
      <c r="M104" s="134" t="str">
        <f t="shared" si="15"/>
        <v/>
      </c>
      <c r="N104" s="128"/>
      <c r="O104" s="129"/>
      <c r="P104" s="130"/>
      <c r="Q104" s="132" t="str">
        <f t="shared" si="16"/>
        <v/>
      </c>
      <c r="R104" s="133" t="str">
        <f t="shared" si="17"/>
        <v/>
      </c>
      <c r="S104" s="134" t="str">
        <f t="shared" si="18"/>
        <v/>
      </c>
      <c r="T104" s="128"/>
      <c r="U104" s="129"/>
      <c r="V104" s="130"/>
      <c r="W104" s="136" t="str">
        <f t="shared" si="19"/>
        <v/>
      </c>
      <c r="X104" s="133" t="str">
        <f t="shared" si="20"/>
        <v/>
      </c>
      <c r="Y104" s="134" t="str">
        <f t="shared" si="21"/>
        <v/>
      </c>
      <c r="Z104" s="137" t="str">
        <f t="shared" si="22"/>
        <v/>
      </c>
      <c r="AA104" s="138" t="str">
        <f t="shared" si="23"/>
        <v/>
      </c>
      <c r="AB104" s="139" t="str">
        <f t="shared" si="24"/>
        <v/>
      </c>
      <c r="AC104" s="140" t="str">
        <f t="array" ref="AC104">IF(AB104="","",IFERROR(INDEX(HELPER!$D$8:$D$48,IF(AB104&gt;=HELPER!$B$8,1,MATCH(AB104,HELPER!$B$8:$B$48,-1)+1)),""))</f>
        <v/>
      </c>
      <c r="AD104" s="141" t="str">
        <f>IF(AC104="","",IFERROR(VLOOKUP(AC104,HELPER!$F$8:$G$48,2,FALSE),""))</f>
        <v/>
      </c>
      <c r="AE104" s="6"/>
      <c r="AF104" s="12"/>
    </row>
    <row r="105" ht="15.0" customHeight="1">
      <c r="A105" s="6"/>
      <c r="B105" s="214">
        <v>37.0</v>
      </c>
      <c r="C105" s="202" t="str">
        <f>IF('INPUT DATA'!N47="","",'INPUT DATA'!N47)</f>
        <v/>
      </c>
      <c r="D105" s="203"/>
      <c r="E105" s="204"/>
      <c r="F105" s="128"/>
      <c r="G105" s="129"/>
      <c r="H105" s="129"/>
      <c r="I105" s="129"/>
      <c r="J105" s="130"/>
      <c r="K105" s="132" t="str">
        <f t="shared" si="13"/>
        <v/>
      </c>
      <c r="L105" s="133" t="str">
        <f t="shared" si="14"/>
        <v/>
      </c>
      <c r="M105" s="134" t="str">
        <f t="shared" si="15"/>
        <v/>
      </c>
      <c r="N105" s="128"/>
      <c r="O105" s="129"/>
      <c r="P105" s="130"/>
      <c r="Q105" s="132" t="str">
        <f t="shared" si="16"/>
        <v/>
      </c>
      <c r="R105" s="133" t="str">
        <f t="shared" si="17"/>
        <v/>
      </c>
      <c r="S105" s="134" t="str">
        <f t="shared" si="18"/>
        <v/>
      </c>
      <c r="T105" s="128"/>
      <c r="U105" s="129"/>
      <c r="V105" s="130"/>
      <c r="W105" s="136" t="str">
        <f t="shared" si="19"/>
        <v/>
      </c>
      <c r="X105" s="133" t="str">
        <f t="shared" si="20"/>
        <v/>
      </c>
      <c r="Y105" s="134" t="str">
        <f t="shared" si="21"/>
        <v/>
      </c>
      <c r="Z105" s="137" t="str">
        <f t="shared" si="22"/>
        <v/>
      </c>
      <c r="AA105" s="138" t="str">
        <f t="shared" si="23"/>
        <v/>
      </c>
      <c r="AB105" s="139" t="str">
        <f t="shared" si="24"/>
        <v/>
      </c>
      <c r="AC105" s="140" t="str">
        <f t="array" ref="AC105">IF(AB105="","",IFERROR(INDEX(HELPER!$D$8:$D$48,IF(AB105&gt;=HELPER!$B$8,1,MATCH(AB105,HELPER!$B$8:$B$48,-1)+1)),""))</f>
        <v/>
      </c>
      <c r="AD105" s="141" t="str">
        <f>IF(AC105="","",IFERROR(VLOOKUP(AC105,HELPER!$F$8:$G$48,2,FALSE),""))</f>
        <v/>
      </c>
      <c r="AE105" s="6"/>
      <c r="AF105" s="12"/>
    </row>
    <row r="106" ht="15.0" customHeight="1">
      <c r="A106" s="6"/>
      <c r="B106" s="214">
        <v>38.0</v>
      </c>
      <c r="C106" s="202" t="str">
        <f>IF('INPUT DATA'!N48="","",'INPUT DATA'!N48)</f>
        <v/>
      </c>
      <c r="D106" s="203"/>
      <c r="E106" s="204"/>
      <c r="F106" s="128"/>
      <c r="G106" s="129"/>
      <c r="H106" s="129"/>
      <c r="I106" s="129"/>
      <c r="J106" s="130"/>
      <c r="K106" s="132" t="str">
        <f t="shared" si="13"/>
        <v/>
      </c>
      <c r="L106" s="133" t="str">
        <f t="shared" si="14"/>
        <v/>
      </c>
      <c r="M106" s="134" t="str">
        <f t="shared" si="15"/>
        <v/>
      </c>
      <c r="N106" s="128"/>
      <c r="O106" s="129"/>
      <c r="P106" s="130"/>
      <c r="Q106" s="132" t="str">
        <f t="shared" si="16"/>
        <v/>
      </c>
      <c r="R106" s="133" t="str">
        <f t="shared" si="17"/>
        <v/>
      </c>
      <c r="S106" s="134" t="str">
        <f t="shared" si="18"/>
        <v/>
      </c>
      <c r="T106" s="128"/>
      <c r="U106" s="129"/>
      <c r="V106" s="130"/>
      <c r="W106" s="136" t="str">
        <f t="shared" si="19"/>
        <v/>
      </c>
      <c r="X106" s="133" t="str">
        <f t="shared" si="20"/>
        <v/>
      </c>
      <c r="Y106" s="134" t="str">
        <f t="shared" si="21"/>
        <v/>
      </c>
      <c r="Z106" s="137" t="str">
        <f t="shared" si="22"/>
        <v/>
      </c>
      <c r="AA106" s="138" t="str">
        <f t="shared" si="23"/>
        <v/>
      </c>
      <c r="AB106" s="139" t="str">
        <f t="shared" si="24"/>
        <v/>
      </c>
      <c r="AC106" s="140" t="str">
        <f t="array" ref="AC106">IF(AB106="","",IFERROR(INDEX(HELPER!$D$8:$D$48,IF(AB106&gt;=HELPER!$B$8,1,MATCH(AB106,HELPER!$B$8:$B$48,-1)+1)),""))</f>
        <v/>
      </c>
      <c r="AD106" s="141" t="str">
        <f>IF(AC106="","",IFERROR(VLOOKUP(AC106,HELPER!$F$8:$G$48,2,FALSE),""))</f>
        <v/>
      </c>
      <c r="AE106" s="6"/>
      <c r="AF106" s="12"/>
    </row>
    <row r="107" ht="15.0" customHeight="1">
      <c r="A107" s="6"/>
      <c r="B107" s="214">
        <v>39.0</v>
      </c>
      <c r="C107" s="202" t="str">
        <f>IF('INPUT DATA'!N49="","",'INPUT DATA'!N49)</f>
        <v/>
      </c>
      <c r="D107" s="203"/>
      <c r="E107" s="204"/>
      <c r="F107" s="128"/>
      <c r="G107" s="129"/>
      <c r="H107" s="129"/>
      <c r="I107" s="129"/>
      <c r="J107" s="130"/>
      <c r="K107" s="132" t="str">
        <f t="shared" si="13"/>
        <v/>
      </c>
      <c r="L107" s="133" t="str">
        <f t="shared" si="14"/>
        <v/>
      </c>
      <c r="M107" s="134" t="str">
        <f t="shared" si="15"/>
        <v/>
      </c>
      <c r="N107" s="128"/>
      <c r="O107" s="129"/>
      <c r="P107" s="130"/>
      <c r="Q107" s="132" t="str">
        <f t="shared" si="16"/>
        <v/>
      </c>
      <c r="R107" s="133" t="str">
        <f t="shared" si="17"/>
        <v/>
      </c>
      <c r="S107" s="134" t="str">
        <f t="shared" si="18"/>
        <v/>
      </c>
      <c r="T107" s="128"/>
      <c r="U107" s="129"/>
      <c r="V107" s="130"/>
      <c r="W107" s="136" t="str">
        <f t="shared" si="19"/>
        <v/>
      </c>
      <c r="X107" s="133" t="str">
        <f t="shared" si="20"/>
        <v/>
      </c>
      <c r="Y107" s="134" t="str">
        <f t="shared" si="21"/>
        <v/>
      </c>
      <c r="Z107" s="137" t="str">
        <f t="shared" si="22"/>
        <v/>
      </c>
      <c r="AA107" s="138" t="str">
        <f t="shared" si="23"/>
        <v/>
      </c>
      <c r="AB107" s="139" t="str">
        <f t="shared" si="24"/>
        <v/>
      </c>
      <c r="AC107" s="140" t="str">
        <f t="array" ref="AC107">IF(AB107="","",IFERROR(INDEX(HELPER!$D$8:$D$48,IF(AB107&gt;=HELPER!$B$8,1,MATCH(AB107,HELPER!$B$8:$B$48,-1)+1)),""))</f>
        <v/>
      </c>
      <c r="AD107" s="141" t="str">
        <f>IF(AC107="","",IFERROR(VLOOKUP(AC107,HELPER!$F$8:$G$48,2,FALSE),""))</f>
        <v/>
      </c>
      <c r="AE107" s="6"/>
      <c r="AF107" s="12"/>
    </row>
    <row r="108" ht="15.0" customHeight="1">
      <c r="A108" s="6"/>
      <c r="B108" s="214">
        <v>40.0</v>
      </c>
      <c r="C108" s="202" t="str">
        <f>IF('INPUT DATA'!N50="","",'INPUT DATA'!N50)</f>
        <v/>
      </c>
      <c r="D108" s="203"/>
      <c r="E108" s="204"/>
      <c r="F108" s="128"/>
      <c r="G108" s="129"/>
      <c r="H108" s="129"/>
      <c r="I108" s="129"/>
      <c r="J108" s="130"/>
      <c r="K108" s="132" t="str">
        <f t="shared" si="13"/>
        <v/>
      </c>
      <c r="L108" s="133" t="str">
        <f t="shared" si="14"/>
        <v/>
      </c>
      <c r="M108" s="134" t="str">
        <f t="shared" si="15"/>
        <v/>
      </c>
      <c r="N108" s="128"/>
      <c r="O108" s="129"/>
      <c r="P108" s="130"/>
      <c r="Q108" s="132" t="str">
        <f t="shared" si="16"/>
        <v/>
      </c>
      <c r="R108" s="133" t="str">
        <f t="shared" si="17"/>
        <v/>
      </c>
      <c r="S108" s="134" t="str">
        <f t="shared" si="18"/>
        <v/>
      </c>
      <c r="T108" s="128"/>
      <c r="U108" s="129"/>
      <c r="V108" s="130"/>
      <c r="W108" s="136" t="str">
        <f t="shared" si="19"/>
        <v/>
      </c>
      <c r="X108" s="133" t="str">
        <f t="shared" si="20"/>
        <v/>
      </c>
      <c r="Y108" s="134" t="str">
        <f t="shared" si="21"/>
        <v/>
      </c>
      <c r="Z108" s="137" t="str">
        <f t="shared" si="22"/>
        <v/>
      </c>
      <c r="AA108" s="138" t="str">
        <f t="shared" si="23"/>
        <v/>
      </c>
      <c r="AB108" s="139" t="str">
        <f t="shared" si="24"/>
        <v/>
      </c>
      <c r="AC108" s="140" t="str">
        <f t="array" ref="AC108">IF(AB108="","",IFERROR(INDEX(HELPER!$D$8:$D$48,IF(AB108&gt;=HELPER!$B$8,1,MATCH(AB108,HELPER!$B$8:$B$48,-1)+1)),""))</f>
        <v/>
      </c>
      <c r="AD108" s="141" t="str">
        <f>IF(AC108="","",IFERROR(VLOOKUP(AC108,HELPER!$F$8:$G$48,2,FALSE),""))</f>
        <v/>
      </c>
      <c r="AE108" s="6"/>
      <c r="AF108" s="12"/>
    </row>
    <row r="109" ht="15.0" customHeight="1">
      <c r="A109" s="6"/>
      <c r="B109" s="214">
        <v>41.0</v>
      </c>
      <c r="C109" s="202" t="str">
        <f>IF('INPUT DATA'!N51="","",'INPUT DATA'!N51)</f>
        <v/>
      </c>
      <c r="D109" s="203"/>
      <c r="E109" s="204"/>
      <c r="F109" s="128"/>
      <c r="G109" s="129"/>
      <c r="H109" s="129"/>
      <c r="I109" s="129"/>
      <c r="J109" s="130"/>
      <c r="K109" s="132" t="str">
        <f t="shared" si="13"/>
        <v/>
      </c>
      <c r="L109" s="133" t="str">
        <f t="shared" si="14"/>
        <v/>
      </c>
      <c r="M109" s="134" t="str">
        <f t="shared" si="15"/>
        <v/>
      </c>
      <c r="N109" s="128"/>
      <c r="O109" s="129"/>
      <c r="P109" s="130"/>
      <c r="Q109" s="132" t="str">
        <f t="shared" si="16"/>
        <v/>
      </c>
      <c r="R109" s="133" t="str">
        <f t="shared" si="17"/>
        <v/>
      </c>
      <c r="S109" s="134" t="str">
        <f t="shared" si="18"/>
        <v/>
      </c>
      <c r="T109" s="128"/>
      <c r="U109" s="129"/>
      <c r="V109" s="130"/>
      <c r="W109" s="136" t="str">
        <f t="shared" si="19"/>
        <v/>
      </c>
      <c r="X109" s="133" t="str">
        <f t="shared" si="20"/>
        <v/>
      </c>
      <c r="Y109" s="134" t="str">
        <f t="shared" si="21"/>
        <v/>
      </c>
      <c r="Z109" s="137" t="str">
        <f t="shared" si="22"/>
        <v/>
      </c>
      <c r="AA109" s="138" t="str">
        <f t="shared" si="23"/>
        <v/>
      </c>
      <c r="AB109" s="139" t="str">
        <f t="shared" si="24"/>
        <v/>
      </c>
      <c r="AC109" s="140" t="str">
        <f t="array" ref="AC109">IF(AB109="","",IFERROR(INDEX(HELPER!$D$8:$D$48,IF(AB109&gt;=HELPER!$B$8,1,MATCH(AB109,HELPER!$B$8:$B$48,-1)+1)),""))</f>
        <v/>
      </c>
      <c r="AD109" s="141" t="str">
        <f>IF(AC109="","",IFERROR(VLOOKUP(AC109,HELPER!$F$8:$G$48,2,FALSE),""))</f>
        <v/>
      </c>
      <c r="AE109" s="6"/>
      <c r="AF109" s="12"/>
    </row>
    <row r="110" ht="15.0" customHeight="1">
      <c r="A110" s="6"/>
      <c r="B110" s="214">
        <v>42.0</v>
      </c>
      <c r="C110" s="202" t="str">
        <f>IF('INPUT DATA'!N52="","",'INPUT DATA'!N52)</f>
        <v/>
      </c>
      <c r="D110" s="203"/>
      <c r="E110" s="204"/>
      <c r="F110" s="128"/>
      <c r="G110" s="129"/>
      <c r="H110" s="129"/>
      <c r="I110" s="129"/>
      <c r="J110" s="130"/>
      <c r="K110" s="132" t="str">
        <f t="shared" si="13"/>
        <v/>
      </c>
      <c r="L110" s="133" t="str">
        <f t="shared" si="14"/>
        <v/>
      </c>
      <c r="M110" s="134" t="str">
        <f t="shared" si="15"/>
        <v/>
      </c>
      <c r="N110" s="128"/>
      <c r="O110" s="129"/>
      <c r="P110" s="130"/>
      <c r="Q110" s="132" t="str">
        <f t="shared" si="16"/>
        <v/>
      </c>
      <c r="R110" s="133" t="str">
        <f t="shared" si="17"/>
        <v/>
      </c>
      <c r="S110" s="134" t="str">
        <f t="shared" si="18"/>
        <v/>
      </c>
      <c r="T110" s="128"/>
      <c r="U110" s="129"/>
      <c r="V110" s="130"/>
      <c r="W110" s="136" t="str">
        <f t="shared" si="19"/>
        <v/>
      </c>
      <c r="X110" s="133" t="str">
        <f t="shared" si="20"/>
        <v/>
      </c>
      <c r="Y110" s="134" t="str">
        <f t="shared" si="21"/>
        <v/>
      </c>
      <c r="Z110" s="137" t="str">
        <f t="shared" si="22"/>
        <v/>
      </c>
      <c r="AA110" s="138" t="str">
        <f t="shared" si="23"/>
        <v/>
      </c>
      <c r="AB110" s="139" t="str">
        <f t="shared" si="24"/>
        <v/>
      </c>
      <c r="AC110" s="140" t="str">
        <f t="array" ref="AC110">IF(AB110="","",IFERROR(INDEX(HELPER!$D$8:$D$48,IF(AB110&gt;=HELPER!$B$8,1,MATCH(AB110,HELPER!$B$8:$B$48,-1)+1)),""))</f>
        <v/>
      </c>
      <c r="AD110" s="141" t="str">
        <f>IF(AC110="","",IFERROR(VLOOKUP(AC110,HELPER!$F$8:$G$48,2,FALSE),""))</f>
        <v/>
      </c>
      <c r="AE110" s="6"/>
      <c r="AF110" s="12"/>
    </row>
    <row r="111" ht="15.0" customHeight="1">
      <c r="A111" s="6"/>
      <c r="B111" s="214">
        <v>43.0</v>
      </c>
      <c r="C111" s="202" t="str">
        <f>IF('INPUT DATA'!N53="","",'INPUT DATA'!N53)</f>
        <v/>
      </c>
      <c r="D111" s="203"/>
      <c r="E111" s="204"/>
      <c r="F111" s="128"/>
      <c r="G111" s="129"/>
      <c r="H111" s="129"/>
      <c r="I111" s="129"/>
      <c r="J111" s="130"/>
      <c r="K111" s="132" t="str">
        <f t="shared" si="13"/>
        <v/>
      </c>
      <c r="L111" s="133" t="str">
        <f t="shared" si="14"/>
        <v/>
      </c>
      <c r="M111" s="134" t="str">
        <f t="shared" si="15"/>
        <v/>
      </c>
      <c r="N111" s="128"/>
      <c r="O111" s="129"/>
      <c r="P111" s="130"/>
      <c r="Q111" s="132" t="str">
        <f t="shared" si="16"/>
        <v/>
      </c>
      <c r="R111" s="133" t="str">
        <f t="shared" si="17"/>
        <v/>
      </c>
      <c r="S111" s="134" t="str">
        <f t="shared" si="18"/>
        <v/>
      </c>
      <c r="T111" s="128"/>
      <c r="U111" s="129"/>
      <c r="V111" s="130"/>
      <c r="W111" s="136" t="str">
        <f t="shared" si="19"/>
        <v/>
      </c>
      <c r="X111" s="133" t="str">
        <f t="shared" si="20"/>
        <v/>
      </c>
      <c r="Y111" s="134" t="str">
        <f t="shared" si="21"/>
        <v/>
      </c>
      <c r="Z111" s="137" t="str">
        <f t="shared" si="22"/>
        <v/>
      </c>
      <c r="AA111" s="138" t="str">
        <f t="shared" si="23"/>
        <v/>
      </c>
      <c r="AB111" s="139" t="str">
        <f t="shared" si="24"/>
        <v/>
      </c>
      <c r="AC111" s="140" t="str">
        <f t="array" ref="AC111">IF(AB111="","",IFERROR(INDEX(HELPER!$D$8:$D$48,IF(AB111&gt;=HELPER!$B$8,1,MATCH(AB111,HELPER!$B$8:$B$48,-1)+1)),""))</f>
        <v/>
      </c>
      <c r="AD111" s="141" t="str">
        <f>IF(AC111="","",IFERROR(VLOOKUP(AC111,HELPER!$F$8:$G$48,2,FALSE),""))</f>
        <v/>
      </c>
      <c r="AE111" s="6"/>
      <c r="AF111" s="12"/>
    </row>
    <row r="112" ht="15.0" customHeight="1">
      <c r="A112" s="6"/>
      <c r="B112" s="214">
        <v>44.0</v>
      </c>
      <c r="C112" s="202" t="str">
        <f>IF('INPUT DATA'!N54="","",'INPUT DATA'!N54)</f>
        <v/>
      </c>
      <c r="D112" s="203"/>
      <c r="E112" s="204"/>
      <c r="F112" s="128"/>
      <c r="G112" s="129"/>
      <c r="H112" s="129"/>
      <c r="I112" s="129"/>
      <c r="J112" s="130"/>
      <c r="K112" s="132" t="str">
        <f t="shared" si="13"/>
        <v/>
      </c>
      <c r="L112" s="133" t="str">
        <f t="shared" si="14"/>
        <v/>
      </c>
      <c r="M112" s="134" t="str">
        <f t="shared" si="15"/>
        <v/>
      </c>
      <c r="N112" s="128"/>
      <c r="O112" s="129"/>
      <c r="P112" s="130"/>
      <c r="Q112" s="132" t="str">
        <f t="shared" si="16"/>
        <v/>
      </c>
      <c r="R112" s="133" t="str">
        <f t="shared" si="17"/>
        <v/>
      </c>
      <c r="S112" s="134" t="str">
        <f t="shared" si="18"/>
        <v/>
      </c>
      <c r="T112" s="128"/>
      <c r="U112" s="129"/>
      <c r="V112" s="130"/>
      <c r="W112" s="136" t="str">
        <f t="shared" si="19"/>
        <v/>
      </c>
      <c r="X112" s="133" t="str">
        <f t="shared" si="20"/>
        <v/>
      </c>
      <c r="Y112" s="134" t="str">
        <f t="shared" si="21"/>
        <v/>
      </c>
      <c r="Z112" s="137" t="str">
        <f t="shared" si="22"/>
        <v/>
      </c>
      <c r="AA112" s="138" t="str">
        <f t="shared" si="23"/>
        <v/>
      </c>
      <c r="AB112" s="139" t="str">
        <f t="shared" si="24"/>
        <v/>
      </c>
      <c r="AC112" s="140" t="str">
        <f t="array" ref="AC112">IF(AB112="","",IFERROR(INDEX(HELPER!$D$8:$D$48,IF(AB112&gt;=HELPER!$B$8,1,MATCH(AB112,HELPER!$B$8:$B$48,-1)+1)),""))</f>
        <v/>
      </c>
      <c r="AD112" s="141" t="str">
        <f>IF(AC112="","",IFERROR(VLOOKUP(AC112,HELPER!$F$8:$G$48,2,FALSE),""))</f>
        <v/>
      </c>
      <c r="AE112" s="6"/>
      <c r="AF112" s="12"/>
    </row>
    <row r="113" ht="15.0" customHeight="1">
      <c r="A113" s="6"/>
      <c r="B113" s="214">
        <v>45.0</v>
      </c>
      <c r="C113" s="202" t="str">
        <f>IF('INPUT DATA'!N55="","",'INPUT DATA'!N55)</f>
        <v/>
      </c>
      <c r="D113" s="203"/>
      <c r="E113" s="204"/>
      <c r="F113" s="128"/>
      <c r="G113" s="129"/>
      <c r="H113" s="129"/>
      <c r="I113" s="129"/>
      <c r="J113" s="130"/>
      <c r="K113" s="132" t="str">
        <f t="shared" si="13"/>
        <v/>
      </c>
      <c r="L113" s="133" t="str">
        <f t="shared" si="14"/>
        <v/>
      </c>
      <c r="M113" s="134" t="str">
        <f t="shared" si="15"/>
        <v/>
      </c>
      <c r="N113" s="128"/>
      <c r="O113" s="129"/>
      <c r="P113" s="130"/>
      <c r="Q113" s="132" t="str">
        <f t="shared" si="16"/>
        <v/>
      </c>
      <c r="R113" s="133" t="str">
        <f t="shared" si="17"/>
        <v/>
      </c>
      <c r="S113" s="134" t="str">
        <f t="shared" si="18"/>
        <v/>
      </c>
      <c r="T113" s="128"/>
      <c r="U113" s="129"/>
      <c r="V113" s="130"/>
      <c r="W113" s="136" t="str">
        <f t="shared" si="19"/>
        <v/>
      </c>
      <c r="X113" s="133" t="str">
        <f t="shared" si="20"/>
        <v/>
      </c>
      <c r="Y113" s="134" t="str">
        <f t="shared" si="21"/>
        <v/>
      </c>
      <c r="Z113" s="137" t="str">
        <f t="shared" si="22"/>
        <v/>
      </c>
      <c r="AA113" s="138" t="str">
        <f t="shared" si="23"/>
        <v/>
      </c>
      <c r="AB113" s="139" t="str">
        <f t="shared" si="24"/>
        <v/>
      </c>
      <c r="AC113" s="140" t="str">
        <f t="array" ref="AC113">IF(AB113="","",IFERROR(INDEX(HELPER!$D$8:$D$48,IF(AB113&gt;=HELPER!$B$8,1,MATCH(AB113,HELPER!$B$8:$B$48,-1)+1)),""))</f>
        <v/>
      </c>
      <c r="AD113" s="141" t="str">
        <f>IF(AC113="","",IFERROR(VLOOKUP(AC113,HELPER!$F$8:$G$48,2,FALSE),""))</f>
        <v/>
      </c>
      <c r="AE113" s="6"/>
      <c r="AF113" s="12"/>
    </row>
    <row r="114" ht="15.0" customHeight="1">
      <c r="A114" s="6"/>
      <c r="B114" s="214">
        <v>46.0</v>
      </c>
      <c r="C114" s="202" t="str">
        <f>IF('INPUT DATA'!N56="","",'INPUT DATA'!N56)</f>
        <v/>
      </c>
      <c r="D114" s="203"/>
      <c r="E114" s="204"/>
      <c r="F114" s="128"/>
      <c r="G114" s="129"/>
      <c r="H114" s="129"/>
      <c r="I114" s="129"/>
      <c r="J114" s="130"/>
      <c r="K114" s="132" t="str">
        <f t="shared" si="13"/>
        <v/>
      </c>
      <c r="L114" s="133" t="str">
        <f t="shared" si="14"/>
        <v/>
      </c>
      <c r="M114" s="134" t="str">
        <f t="shared" si="15"/>
        <v/>
      </c>
      <c r="N114" s="128"/>
      <c r="O114" s="129"/>
      <c r="P114" s="130"/>
      <c r="Q114" s="132" t="str">
        <f t="shared" si="16"/>
        <v/>
      </c>
      <c r="R114" s="133" t="str">
        <f t="shared" si="17"/>
        <v/>
      </c>
      <c r="S114" s="134" t="str">
        <f t="shared" si="18"/>
        <v/>
      </c>
      <c r="T114" s="128"/>
      <c r="U114" s="129"/>
      <c r="V114" s="130"/>
      <c r="W114" s="136" t="str">
        <f t="shared" si="19"/>
        <v/>
      </c>
      <c r="X114" s="133" t="str">
        <f t="shared" si="20"/>
        <v/>
      </c>
      <c r="Y114" s="134" t="str">
        <f t="shared" si="21"/>
        <v/>
      </c>
      <c r="Z114" s="137" t="str">
        <f t="shared" si="22"/>
        <v/>
      </c>
      <c r="AA114" s="138" t="str">
        <f t="shared" si="23"/>
        <v/>
      </c>
      <c r="AB114" s="139" t="str">
        <f t="shared" si="24"/>
        <v/>
      </c>
      <c r="AC114" s="140" t="str">
        <f t="array" ref="AC114">IF(AB114="","",IFERROR(INDEX(HELPER!$D$8:$D$48,IF(AB114&gt;=HELPER!$B$8,1,MATCH(AB114,HELPER!$B$8:$B$48,-1)+1)),""))</f>
        <v/>
      </c>
      <c r="AD114" s="141" t="str">
        <f>IF(AC114="","",IFERROR(VLOOKUP(AC114,HELPER!$F$8:$G$48,2,FALSE),""))</f>
        <v/>
      </c>
      <c r="AE114" s="6"/>
      <c r="AF114" s="12"/>
    </row>
    <row r="115" ht="15.0" customHeight="1">
      <c r="A115" s="6"/>
      <c r="B115" s="214">
        <v>47.0</v>
      </c>
      <c r="C115" s="202" t="str">
        <f>IF('INPUT DATA'!N57="","",'INPUT DATA'!N57)</f>
        <v/>
      </c>
      <c r="D115" s="203"/>
      <c r="E115" s="204"/>
      <c r="F115" s="128"/>
      <c r="G115" s="129"/>
      <c r="H115" s="129"/>
      <c r="I115" s="129"/>
      <c r="J115" s="130"/>
      <c r="K115" s="132" t="str">
        <f t="shared" si="13"/>
        <v/>
      </c>
      <c r="L115" s="133" t="str">
        <f t="shared" si="14"/>
        <v/>
      </c>
      <c r="M115" s="134" t="str">
        <f t="shared" si="15"/>
        <v/>
      </c>
      <c r="N115" s="128"/>
      <c r="O115" s="129"/>
      <c r="P115" s="130"/>
      <c r="Q115" s="132" t="str">
        <f t="shared" si="16"/>
        <v/>
      </c>
      <c r="R115" s="133" t="str">
        <f t="shared" si="17"/>
        <v/>
      </c>
      <c r="S115" s="134" t="str">
        <f t="shared" si="18"/>
        <v/>
      </c>
      <c r="T115" s="128"/>
      <c r="U115" s="129"/>
      <c r="V115" s="130"/>
      <c r="W115" s="136" t="str">
        <f t="shared" si="19"/>
        <v/>
      </c>
      <c r="X115" s="133" t="str">
        <f t="shared" si="20"/>
        <v/>
      </c>
      <c r="Y115" s="134" t="str">
        <f t="shared" si="21"/>
        <v/>
      </c>
      <c r="Z115" s="137" t="str">
        <f t="shared" si="22"/>
        <v/>
      </c>
      <c r="AA115" s="138" t="str">
        <f t="shared" si="23"/>
        <v/>
      </c>
      <c r="AB115" s="139" t="str">
        <f t="shared" si="24"/>
        <v/>
      </c>
      <c r="AC115" s="140" t="str">
        <f t="array" ref="AC115">IF(AB115="","",IFERROR(INDEX(HELPER!$D$8:$D$48,IF(AB115&gt;=HELPER!$B$8,1,MATCH(AB115,HELPER!$B$8:$B$48,-1)+1)),""))</f>
        <v/>
      </c>
      <c r="AD115" s="141" t="str">
        <f>IF(AC115="","",IFERROR(VLOOKUP(AC115,HELPER!$F$8:$G$48,2,FALSE),""))</f>
        <v/>
      </c>
      <c r="AE115" s="6"/>
      <c r="AF115" s="12"/>
    </row>
    <row r="116" ht="15.0" customHeight="1">
      <c r="A116" s="6"/>
      <c r="B116" s="214">
        <v>48.0</v>
      </c>
      <c r="C116" s="202" t="str">
        <f>IF('INPUT DATA'!N58="","",'INPUT DATA'!N58)</f>
        <v/>
      </c>
      <c r="D116" s="203"/>
      <c r="E116" s="204"/>
      <c r="F116" s="128"/>
      <c r="G116" s="129"/>
      <c r="H116" s="129"/>
      <c r="I116" s="129"/>
      <c r="J116" s="130"/>
      <c r="K116" s="132" t="str">
        <f t="shared" si="13"/>
        <v/>
      </c>
      <c r="L116" s="133" t="str">
        <f t="shared" si="14"/>
        <v/>
      </c>
      <c r="M116" s="134" t="str">
        <f t="shared" si="15"/>
        <v/>
      </c>
      <c r="N116" s="128"/>
      <c r="O116" s="129"/>
      <c r="P116" s="130"/>
      <c r="Q116" s="132" t="str">
        <f t="shared" si="16"/>
        <v/>
      </c>
      <c r="R116" s="133" t="str">
        <f t="shared" si="17"/>
        <v/>
      </c>
      <c r="S116" s="134" t="str">
        <f t="shared" si="18"/>
        <v/>
      </c>
      <c r="T116" s="128"/>
      <c r="U116" s="129"/>
      <c r="V116" s="130"/>
      <c r="W116" s="136" t="str">
        <f t="shared" si="19"/>
        <v/>
      </c>
      <c r="X116" s="133" t="str">
        <f t="shared" si="20"/>
        <v/>
      </c>
      <c r="Y116" s="134" t="str">
        <f t="shared" si="21"/>
        <v/>
      </c>
      <c r="Z116" s="137" t="str">
        <f t="shared" si="22"/>
        <v/>
      </c>
      <c r="AA116" s="138" t="str">
        <f t="shared" si="23"/>
        <v/>
      </c>
      <c r="AB116" s="139" t="str">
        <f t="shared" si="24"/>
        <v/>
      </c>
      <c r="AC116" s="140" t="str">
        <f t="array" ref="AC116">IF(AB116="","",IFERROR(INDEX(HELPER!$D$8:$D$48,IF(AB116&gt;=HELPER!$B$8,1,MATCH(AB116,HELPER!$B$8:$B$48,-1)+1)),""))</f>
        <v/>
      </c>
      <c r="AD116" s="141" t="str">
        <f>IF(AC116="","",IFERROR(VLOOKUP(AC116,HELPER!$F$8:$G$48,2,FALSE),""))</f>
        <v/>
      </c>
      <c r="AE116" s="6"/>
      <c r="AF116" s="12"/>
    </row>
    <row r="117" ht="15.0" customHeight="1">
      <c r="A117" s="6"/>
      <c r="B117" s="214">
        <v>49.0</v>
      </c>
      <c r="C117" s="202" t="str">
        <f>IF('INPUT DATA'!N59="","",'INPUT DATA'!N59)</f>
        <v/>
      </c>
      <c r="D117" s="203"/>
      <c r="E117" s="204"/>
      <c r="F117" s="128"/>
      <c r="G117" s="129"/>
      <c r="H117" s="129"/>
      <c r="I117" s="129"/>
      <c r="J117" s="130"/>
      <c r="K117" s="132" t="str">
        <f t="shared" si="13"/>
        <v/>
      </c>
      <c r="L117" s="133" t="str">
        <f t="shared" si="14"/>
        <v/>
      </c>
      <c r="M117" s="134" t="str">
        <f t="shared" si="15"/>
        <v/>
      </c>
      <c r="N117" s="128"/>
      <c r="O117" s="129"/>
      <c r="P117" s="130"/>
      <c r="Q117" s="132" t="str">
        <f t="shared" si="16"/>
        <v/>
      </c>
      <c r="R117" s="133" t="str">
        <f t="shared" si="17"/>
        <v/>
      </c>
      <c r="S117" s="134" t="str">
        <f t="shared" si="18"/>
        <v/>
      </c>
      <c r="T117" s="128"/>
      <c r="U117" s="129"/>
      <c r="V117" s="130"/>
      <c r="W117" s="136" t="str">
        <f t="shared" si="19"/>
        <v/>
      </c>
      <c r="X117" s="133" t="str">
        <f t="shared" si="20"/>
        <v/>
      </c>
      <c r="Y117" s="134" t="str">
        <f t="shared" si="21"/>
        <v/>
      </c>
      <c r="Z117" s="137" t="str">
        <f t="shared" si="22"/>
        <v/>
      </c>
      <c r="AA117" s="138" t="str">
        <f t="shared" si="23"/>
        <v/>
      </c>
      <c r="AB117" s="139" t="str">
        <f t="shared" si="24"/>
        <v/>
      </c>
      <c r="AC117" s="140" t="str">
        <f t="array" ref="AC117">IF(AB117="","",IFERROR(INDEX(HELPER!$D$8:$D$48,IF(AB117&gt;=HELPER!$B$8,1,MATCH(AB117,HELPER!$B$8:$B$48,-1)+1)),""))</f>
        <v/>
      </c>
      <c r="AD117" s="141" t="str">
        <f>IF(AC117="","",IFERROR(VLOOKUP(AC117,HELPER!$F$8:$G$48,2,FALSE),""))</f>
        <v/>
      </c>
      <c r="AE117" s="6"/>
      <c r="AF117" s="12"/>
    </row>
    <row r="118" ht="15.0" customHeight="1">
      <c r="A118" s="6"/>
      <c r="B118" s="220">
        <v>50.0</v>
      </c>
      <c r="C118" s="221" t="str">
        <f>IF('INPUT DATA'!N60="","",'INPUT DATA'!N60)</f>
        <v/>
      </c>
      <c r="D118" s="222"/>
      <c r="E118" s="223"/>
      <c r="F118" s="184"/>
      <c r="G118" s="185"/>
      <c r="H118" s="185"/>
      <c r="I118" s="185"/>
      <c r="J118" s="186"/>
      <c r="K118" s="224" t="str">
        <f t="shared" si="13"/>
        <v/>
      </c>
      <c r="L118" s="225" t="str">
        <f t="shared" si="14"/>
        <v/>
      </c>
      <c r="M118" s="226" t="str">
        <f t="shared" si="15"/>
        <v/>
      </c>
      <c r="N118" s="184"/>
      <c r="O118" s="185"/>
      <c r="P118" s="186"/>
      <c r="Q118" s="224" t="str">
        <f t="shared" si="16"/>
        <v/>
      </c>
      <c r="R118" s="225" t="str">
        <f t="shared" si="17"/>
        <v/>
      </c>
      <c r="S118" s="226" t="str">
        <f t="shared" si="18"/>
        <v/>
      </c>
      <c r="T118" s="184"/>
      <c r="U118" s="185"/>
      <c r="V118" s="186"/>
      <c r="W118" s="227" t="str">
        <f t="shared" si="19"/>
        <v/>
      </c>
      <c r="X118" s="225" t="str">
        <f t="shared" si="20"/>
        <v/>
      </c>
      <c r="Y118" s="226" t="str">
        <f t="shared" si="21"/>
        <v/>
      </c>
      <c r="Z118" s="228" t="str">
        <f t="shared" si="22"/>
        <v/>
      </c>
      <c r="AA118" s="229" t="str">
        <f t="shared" si="23"/>
        <v/>
      </c>
      <c r="AB118" s="230" t="str">
        <f t="shared" si="24"/>
        <v/>
      </c>
      <c r="AC118" s="187" t="str">
        <f t="array" ref="AC118">IF(AB118="","",IFERROR(INDEX(HELPER!$D$8:$D$48,IF(AB118&gt;=HELPER!$B$8,1,MATCH(AB118,HELPER!$B$8:$B$48,-1)+1)),""))</f>
        <v/>
      </c>
      <c r="AD118" s="188" t="str">
        <f>IF(AC118="","",IFERROR(VLOOKUP(AC118,HELPER!$F$8:$G$48,2,FALSE),""))</f>
        <v/>
      </c>
      <c r="AE118" s="6"/>
      <c r="AF118" s="12"/>
    </row>
    <row r="119" ht="15.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5.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13"/>
    </row>
    <row r="2" ht="15.75" customHeight="1">
      <c r="A2" s="4"/>
      <c r="B2" s="14" t="s">
        <v>1</v>
      </c>
      <c r="AE2" s="4"/>
      <c r="AF2" s="13"/>
    </row>
    <row r="3" ht="15.75" customHeight="1">
      <c r="A3" s="4"/>
      <c r="AE3" s="4"/>
      <c r="AF3" s="13"/>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13"/>
    </row>
    <row r="5" ht="15.75" customHeight="1">
      <c r="A5" s="6"/>
      <c r="B5" s="6"/>
      <c r="C5" s="6"/>
      <c r="D5" s="6"/>
      <c r="E5" s="21" t="s">
        <v>4</v>
      </c>
      <c r="F5" s="28" t="str">
        <f>IF('INPUT DATA'!E10="","",'INPUT DATA'!E10)</f>
        <v/>
      </c>
      <c r="G5" s="29"/>
      <c r="H5" s="29"/>
      <c r="I5" s="29"/>
      <c r="J5" s="29"/>
      <c r="K5" s="29"/>
      <c r="L5" s="31"/>
      <c r="M5" s="6"/>
      <c r="N5" s="6"/>
      <c r="O5" s="6"/>
      <c r="P5" s="6"/>
      <c r="Q5" s="21" t="s">
        <v>8</v>
      </c>
      <c r="R5" s="28" t="str">
        <f>IF('INPUT DATA'!E11="","",'INPUT DATA'!E11)</f>
        <v/>
      </c>
      <c r="S5" s="29"/>
      <c r="T5" s="29"/>
      <c r="U5" s="29"/>
      <c r="V5" s="31"/>
      <c r="W5" s="6"/>
      <c r="X5" s="6"/>
      <c r="Y5" s="21" t="s">
        <v>9</v>
      </c>
      <c r="Z5" s="28" t="str">
        <f>IF('INPUT DATA'!E13="","",'INPUT DATA'!E13)</f>
        <v/>
      </c>
      <c r="AA5" s="29"/>
      <c r="AB5" s="31"/>
      <c r="AC5" s="6"/>
      <c r="AD5" s="6"/>
      <c r="AE5" s="6"/>
      <c r="AF5" s="12"/>
    </row>
    <row r="6" ht="6.0" customHeight="1">
      <c r="A6" s="6"/>
      <c r="B6" s="6"/>
      <c r="C6" s="6"/>
      <c r="D6" s="6"/>
      <c r="E6" s="21"/>
      <c r="F6" s="36"/>
      <c r="G6" s="38"/>
      <c r="H6" s="38"/>
      <c r="I6" s="38"/>
      <c r="J6" s="38"/>
      <c r="K6" s="38"/>
      <c r="L6" s="38"/>
      <c r="M6" s="6"/>
      <c r="N6" s="6"/>
      <c r="O6" s="6"/>
      <c r="P6" s="6"/>
      <c r="Q6" s="21"/>
      <c r="R6" s="36"/>
      <c r="S6" s="38"/>
      <c r="T6" s="38"/>
      <c r="U6" s="38"/>
      <c r="V6" s="38"/>
      <c r="W6" s="6"/>
      <c r="X6" s="6"/>
      <c r="Y6" s="21"/>
      <c r="Z6" s="36"/>
      <c r="AA6" s="38"/>
      <c r="AB6" s="38"/>
      <c r="AC6" s="6"/>
      <c r="AD6" s="6"/>
      <c r="AE6" s="6"/>
      <c r="AF6" s="12"/>
    </row>
    <row r="7" ht="15.75" customHeight="1">
      <c r="A7" s="6"/>
      <c r="B7" s="6"/>
      <c r="C7" s="6"/>
      <c r="D7" s="6"/>
      <c r="E7" s="21" t="s">
        <v>10</v>
      </c>
      <c r="F7" s="28" t="str">
        <f>IF('INPUT DATA'!E14="","",'INPUT DATA'!E14)</f>
        <v/>
      </c>
      <c r="G7" s="29"/>
      <c r="H7" s="29"/>
      <c r="I7" s="29"/>
      <c r="J7" s="29"/>
      <c r="K7" s="29"/>
      <c r="L7" s="29"/>
      <c r="M7" s="29"/>
      <c r="N7" s="29"/>
      <c r="O7" s="29"/>
      <c r="P7" s="29"/>
      <c r="Q7" s="29"/>
      <c r="R7" s="29"/>
      <c r="S7" s="29"/>
      <c r="T7" s="29"/>
      <c r="U7" s="29"/>
      <c r="V7" s="31"/>
      <c r="W7" s="6"/>
      <c r="X7" s="6"/>
      <c r="Y7" s="21" t="s">
        <v>11</v>
      </c>
      <c r="Z7" s="28" t="str">
        <f>IF('INPUT DATA'!E15="","",'INPUT DATA'!E15)</f>
        <v/>
      </c>
      <c r="AA7" s="29"/>
      <c r="AB7" s="31"/>
      <c r="AC7" s="6"/>
      <c r="AD7" s="6"/>
      <c r="AE7" s="6"/>
      <c r="AF7" s="12"/>
    </row>
    <row r="8" ht="15.7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6"/>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31"/>
      <c r="AE9" s="6"/>
      <c r="AF9" s="12"/>
    </row>
    <row r="10" ht="15.75" customHeight="1">
      <c r="A10" s="6"/>
      <c r="B10" s="47" t="s">
        <v>14</v>
      </c>
      <c r="C10" s="3"/>
      <c r="D10" s="3"/>
      <c r="E10" s="48"/>
      <c r="F10" s="49" t="s">
        <v>15</v>
      </c>
      <c r="G10" s="50"/>
      <c r="H10" s="50"/>
      <c r="I10" s="51"/>
      <c r="J10" s="52" t="str">
        <f>IF('INPUT DATA'!E25="","",'INPUT DATA'!E25)</f>
        <v/>
      </c>
      <c r="K10" s="54"/>
      <c r="L10" s="54"/>
      <c r="M10" s="55"/>
      <c r="N10" s="57" t="s">
        <v>17</v>
      </c>
      <c r="O10" s="3"/>
      <c r="P10" s="48"/>
      <c r="Q10" s="59" t="str">
        <f>IF('INPUT DATA'!E23="","",'INPUT DATA'!E23)</f>
        <v/>
      </c>
      <c r="R10" s="3"/>
      <c r="S10" s="3"/>
      <c r="T10" s="3"/>
      <c r="U10" s="3"/>
      <c r="V10" s="3"/>
      <c r="W10" s="3"/>
      <c r="X10" s="48"/>
      <c r="Y10" s="57" t="s">
        <v>18</v>
      </c>
      <c r="Z10" s="5"/>
      <c r="AA10" s="59" t="str">
        <f>IF('INPUT DATA'!E24="","",'INPUT DATA'!E24)</f>
        <v/>
      </c>
      <c r="AB10" s="3"/>
      <c r="AC10" s="3"/>
      <c r="AD10" s="48"/>
      <c r="AE10" s="6"/>
      <c r="AF10" s="12"/>
    </row>
    <row r="11" ht="15.75" customHeight="1">
      <c r="A11" s="6"/>
      <c r="B11" s="60"/>
      <c r="E11" s="61"/>
      <c r="F11" s="62" t="s">
        <v>19</v>
      </c>
      <c r="G11" s="29"/>
      <c r="H11" s="29"/>
      <c r="I11" s="31"/>
      <c r="J11" s="63" t="str">
        <f>IF('INPUT DATA'!E26="","",'INPUT DATA'!E26)</f>
        <v/>
      </c>
      <c r="K11" s="29"/>
      <c r="L11" s="29"/>
      <c r="M11" s="31"/>
      <c r="N11" s="64"/>
      <c r="O11" s="50"/>
      <c r="P11" s="51"/>
      <c r="Q11" s="64"/>
      <c r="R11" s="50"/>
      <c r="S11" s="50"/>
      <c r="T11" s="50"/>
      <c r="U11" s="50"/>
      <c r="V11" s="50"/>
      <c r="W11" s="50"/>
      <c r="X11" s="51"/>
      <c r="Y11" s="64"/>
      <c r="Z11" s="65"/>
      <c r="AA11" s="64"/>
      <c r="AB11" s="50"/>
      <c r="AC11" s="50"/>
      <c r="AD11" s="51"/>
      <c r="AE11" s="6"/>
      <c r="AF11" s="12"/>
    </row>
    <row r="12" ht="15.75" customHeight="1">
      <c r="A12" s="6"/>
      <c r="B12" s="60"/>
      <c r="E12" s="61"/>
      <c r="F12" s="66" t="s">
        <v>21</v>
      </c>
      <c r="G12" s="16"/>
      <c r="H12" s="16"/>
      <c r="I12" s="16"/>
      <c r="J12" s="16"/>
      <c r="K12" s="16"/>
      <c r="L12" s="16"/>
      <c r="M12" s="17"/>
      <c r="N12" s="67" t="s">
        <v>22</v>
      </c>
      <c r="O12" s="16"/>
      <c r="P12" s="16"/>
      <c r="Q12" s="16"/>
      <c r="R12" s="16"/>
      <c r="S12" s="17"/>
      <c r="T12" s="67" t="s">
        <v>23</v>
      </c>
      <c r="U12" s="16"/>
      <c r="V12" s="16"/>
      <c r="W12" s="16"/>
      <c r="X12" s="16"/>
      <c r="Y12" s="16"/>
      <c r="Z12" s="16"/>
      <c r="AA12" s="17"/>
      <c r="AB12" s="68" t="s">
        <v>24</v>
      </c>
      <c r="AC12" s="68" t="s">
        <v>26</v>
      </c>
      <c r="AD12" s="68" t="s">
        <v>27</v>
      </c>
      <c r="AE12" s="6"/>
      <c r="AF12" s="12"/>
    </row>
    <row r="13" ht="15.75" customHeight="1">
      <c r="A13" s="6"/>
      <c r="B13" s="60"/>
      <c r="E13" s="61"/>
      <c r="F13" s="64"/>
      <c r="G13" s="50"/>
      <c r="H13" s="50"/>
      <c r="I13" s="50"/>
      <c r="J13" s="50"/>
      <c r="K13" s="50"/>
      <c r="L13" s="50"/>
      <c r="M13" s="51"/>
      <c r="N13" s="64"/>
      <c r="O13" s="50"/>
      <c r="P13" s="50"/>
      <c r="Q13" s="50"/>
      <c r="R13" s="50"/>
      <c r="S13" s="51"/>
      <c r="T13" s="64"/>
      <c r="U13" s="50"/>
      <c r="V13" s="50"/>
      <c r="W13" s="50"/>
      <c r="X13" s="50"/>
      <c r="Y13" s="50"/>
      <c r="Z13" s="50"/>
      <c r="AA13" s="51"/>
      <c r="AB13" s="71"/>
      <c r="AC13" s="71"/>
      <c r="AD13" s="71"/>
      <c r="AE13" s="6"/>
      <c r="AF13" s="12"/>
    </row>
    <row r="14" ht="15.75" customHeight="1">
      <c r="A14" s="6"/>
      <c r="B14" s="18"/>
      <c r="C14" s="10"/>
      <c r="D14" s="10"/>
      <c r="E14" s="19"/>
      <c r="F14" s="72">
        <v>1.0</v>
      </c>
      <c r="G14" s="73">
        <v>2.0</v>
      </c>
      <c r="H14" s="73">
        <v>3.0</v>
      </c>
      <c r="I14" s="73">
        <v>4.0</v>
      </c>
      <c r="J14" s="74">
        <v>5.0</v>
      </c>
      <c r="K14" s="75" t="s">
        <v>28</v>
      </c>
      <c r="L14" s="75" t="s">
        <v>29</v>
      </c>
      <c r="M14" s="75" t="s">
        <v>30</v>
      </c>
      <c r="N14" s="72">
        <v>1.0</v>
      </c>
      <c r="O14" s="73">
        <v>2.0</v>
      </c>
      <c r="P14" s="74">
        <v>3.0</v>
      </c>
      <c r="Q14" s="75" t="s">
        <v>28</v>
      </c>
      <c r="R14" s="75" t="s">
        <v>29</v>
      </c>
      <c r="S14" s="75" t="s">
        <v>30</v>
      </c>
      <c r="T14" s="72" t="s">
        <v>31</v>
      </c>
      <c r="U14" s="73" t="s">
        <v>32</v>
      </c>
      <c r="V14" s="74" t="s">
        <v>33</v>
      </c>
      <c r="W14" s="76" t="s">
        <v>34</v>
      </c>
      <c r="X14" s="77" t="s">
        <v>35</v>
      </c>
      <c r="Y14" s="78" t="s">
        <v>36</v>
      </c>
      <c r="Z14" s="75" t="s">
        <v>29</v>
      </c>
      <c r="AA14" s="75" t="s">
        <v>30</v>
      </c>
      <c r="AB14" s="71"/>
      <c r="AC14" s="71"/>
      <c r="AD14" s="71"/>
      <c r="AE14" s="6"/>
      <c r="AF14" s="12"/>
    </row>
    <row r="15" ht="15.75" customHeight="1">
      <c r="A15" s="6"/>
      <c r="B15" s="81" t="s">
        <v>37</v>
      </c>
      <c r="C15" s="29"/>
      <c r="D15" s="29"/>
      <c r="E15" s="31"/>
      <c r="F15" s="83"/>
      <c r="G15" s="85"/>
      <c r="H15" s="85"/>
      <c r="I15" s="85"/>
      <c r="J15" s="87"/>
      <c r="K15" s="88" t="str">
        <f>IF(COUNT(F15:J15)=0,"",SUM(F15:J15))</f>
        <v/>
      </c>
      <c r="L15" s="89">
        <v>100.0</v>
      </c>
      <c r="M15" s="91">
        <v>0.2</v>
      </c>
      <c r="N15" s="83"/>
      <c r="O15" s="85"/>
      <c r="P15" s="87"/>
      <c r="Q15" s="88" t="str">
        <f>IF(COUNT(N15:P15)=0,"",SUM(N15:P15))</f>
        <v/>
      </c>
      <c r="R15" s="94">
        <v>100.0</v>
      </c>
      <c r="S15" s="95">
        <v>0.5</v>
      </c>
      <c r="T15" s="82"/>
      <c r="U15" s="84"/>
      <c r="V15" s="86"/>
      <c r="W15" s="96">
        <v>30.0</v>
      </c>
      <c r="X15" s="97">
        <v>30.0</v>
      </c>
      <c r="Y15" s="98">
        <v>40.0</v>
      </c>
      <c r="Z15" s="94">
        <v>100.0</v>
      </c>
      <c r="AA15" s="95">
        <v>0.3</v>
      </c>
      <c r="AB15" s="99"/>
      <c r="AC15" s="99"/>
      <c r="AD15" s="99"/>
      <c r="AE15" s="6"/>
      <c r="AF15" s="12"/>
    </row>
    <row r="16" ht="15.75" customHeight="1">
      <c r="A16" s="6"/>
      <c r="B16" s="102" t="s">
        <v>3</v>
      </c>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31"/>
      <c r="AE16" s="6"/>
      <c r="AF16" s="12"/>
    </row>
    <row r="17" ht="15.75" customHeight="1">
      <c r="A17" s="6"/>
      <c r="B17" s="104" t="s">
        <v>6</v>
      </c>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31"/>
      <c r="AE17" s="6"/>
      <c r="AF17" s="12"/>
    </row>
    <row r="18" ht="15.0" customHeight="1">
      <c r="A18" s="6"/>
      <c r="B18" s="105">
        <v>1.0</v>
      </c>
      <c r="C18" s="106" t="str">
        <f>IF('INPUT DATA'!K11="","",'INPUT DATA'!K11)</f>
        <v/>
      </c>
      <c r="D18" s="107"/>
      <c r="E18" s="108"/>
      <c r="F18" s="109"/>
      <c r="G18" s="110"/>
      <c r="H18" s="110"/>
      <c r="I18" s="110"/>
      <c r="J18" s="111"/>
      <c r="K18" s="112" t="str">
        <f t="shared" ref="K18:K67" si="1">IF(COUNT($F18:$J18)=0,"",SUM($F18:$J18))</f>
        <v/>
      </c>
      <c r="L18" s="114" t="str">
        <f t="shared" ref="L18:L67" si="2">IF(COUNT(F18:J18)=0,"",IFERROR(K18/$K$15*$L$15,""))</f>
        <v/>
      </c>
      <c r="M18" s="116" t="str">
        <f t="shared" ref="M18:M67" si="3">IF(L18="","",L18*$M$15)</f>
        <v/>
      </c>
      <c r="N18" s="109"/>
      <c r="O18" s="110"/>
      <c r="P18" s="111"/>
      <c r="Q18" s="112" t="str">
        <f t="shared" ref="Q18:Q67" si="4">IF(COUNT(N18:P18)=0,"",SUM(N18:P18))</f>
        <v/>
      </c>
      <c r="R18" s="115" t="str">
        <f t="shared" ref="R18:R67" si="5">IF(COUNT(N18:P18)=0,"",IFERROR(Q18/$Q$15*$R$15,""))</f>
        <v/>
      </c>
      <c r="S18" s="116" t="str">
        <f t="shared" ref="S18:S67" si="6">IF(R18="","",R18*$S$15)</f>
        <v/>
      </c>
      <c r="T18" s="109"/>
      <c r="U18" s="110"/>
      <c r="V18" s="111"/>
      <c r="W18" s="117" t="str">
        <f t="shared" ref="W18:W67" si="7">IF(T18="","",IFERROR(T18/$T$15*$W$15,""))</f>
        <v/>
      </c>
      <c r="X18" s="118" t="str">
        <f t="shared" ref="X18:X67" si="8">IF(U18="","",IFERROR(U18/$U$15*$X$15,""))</f>
        <v/>
      </c>
      <c r="Y18" s="119" t="str">
        <f t="shared" ref="Y18:Y67" si="9">IF(V18="","",IFERROR(V18/$V$15*$Y$15,""))</f>
        <v/>
      </c>
      <c r="Z18" s="120" t="str">
        <f t="shared" ref="Z18:Z67" si="10">IF(COUNT(T18:V18)=0,"",SUM(W18:Y18))</f>
        <v/>
      </c>
      <c r="AA18" s="121" t="str">
        <f t="shared" ref="AA18:AA67" si="11">IF(Z18="","",Z18*$AA$15)</f>
        <v/>
      </c>
      <c r="AB18" s="122" t="str">
        <f t="shared" ref="AB18:AB67" si="12">IF(COUNT(F18:J18,N18:P18,T18:V18)=0,"",SUM(M18,S18,AA18))</f>
        <v/>
      </c>
      <c r="AC18" s="123" t="str">
        <f t="array" ref="AC18">IF(AB18="","",IFERROR(INDEX(HELPER!$D$8:$D$48,IF(AB18&gt;=HELPER!$B$8,1,MATCH(AB18,HELPER!$B$8:$B$48,-1)+1)),""))</f>
        <v/>
      </c>
      <c r="AD18" s="125" t="str">
        <f>IF(AC18="","",IFERROR(VLOOKUP(AC18,HELPER!$F$8:$G$48,2,FALSE),""))</f>
        <v/>
      </c>
      <c r="AE18" s="6"/>
      <c r="AF18" s="12"/>
    </row>
    <row r="19" ht="15.0" customHeight="1">
      <c r="A19" s="6"/>
      <c r="B19" s="126">
        <v>2.0</v>
      </c>
      <c r="C19" s="106" t="str">
        <f>IF('INPUT DATA'!K12="","",'INPUT DATA'!K12)</f>
        <v/>
      </c>
      <c r="D19" s="107"/>
      <c r="E19" s="108"/>
      <c r="F19" s="128"/>
      <c r="G19" s="129"/>
      <c r="H19" s="129"/>
      <c r="I19" s="129"/>
      <c r="J19" s="130"/>
      <c r="K19" s="132" t="str">
        <f t="shared" si="1"/>
        <v/>
      </c>
      <c r="L19" s="135" t="str">
        <f t="shared" si="2"/>
        <v/>
      </c>
      <c r="M19" s="134" t="str">
        <f t="shared" si="3"/>
        <v/>
      </c>
      <c r="N19" s="128"/>
      <c r="O19" s="129"/>
      <c r="P19" s="130"/>
      <c r="Q19" s="132" t="str">
        <f t="shared" si="4"/>
        <v/>
      </c>
      <c r="R19" s="133" t="str">
        <f t="shared" si="5"/>
        <v/>
      </c>
      <c r="S19" s="134" t="str">
        <f t="shared" si="6"/>
        <v/>
      </c>
      <c r="T19" s="128"/>
      <c r="U19" s="129"/>
      <c r="V19" s="130"/>
      <c r="W19" s="136" t="str">
        <f t="shared" si="7"/>
        <v/>
      </c>
      <c r="X19" s="133" t="str">
        <f t="shared" si="8"/>
        <v/>
      </c>
      <c r="Y19" s="134" t="str">
        <f t="shared" si="9"/>
        <v/>
      </c>
      <c r="Z19" s="137" t="str">
        <f t="shared" si="10"/>
        <v/>
      </c>
      <c r="AA19" s="138" t="str">
        <f t="shared" si="11"/>
        <v/>
      </c>
      <c r="AB19" s="139" t="str">
        <f t="shared" si="12"/>
        <v/>
      </c>
      <c r="AC19" s="140" t="str">
        <f t="array" ref="AC19">IF(AB19="","",IFERROR(INDEX(HELPER!$D$8:$D$48,IF(AB19&gt;=HELPER!$B$8,1,MATCH(AB19,HELPER!$B$8:$B$48,-1)+1)),""))</f>
        <v/>
      </c>
      <c r="AD19" s="141" t="str">
        <f>IF(AC19="","",IFERROR(VLOOKUP(AC19,HELPER!$F$8:$G$48,2,FALSE),""))</f>
        <v/>
      </c>
      <c r="AE19" s="6"/>
      <c r="AF19" s="12"/>
    </row>
    <row r="20" ht="15.0" customHeight="1">
      <c r="A20" s="6"/>
      <c r="B20" s="126">
        <v>3.0</v>
      </c>
      <c r="C20" s="106" t="str">
        <f>IF('INPUT DATA'!K13="","",'INPUT DATA'!K13)</f>
        <v/>
      </c>
      <c r="D20" s="107"/>
      <c r="E20" s="108"/>
      <c r="F20" s="128"/>
      <c r="G20" s="129"/>
      <c r="H20" s="129"/>
      <c r="I20" s="129"/>
      <c r="J20" s="130"/>
      <c r="K20" s="132" t="str">
        <f t="shared" si="1"/>
        <v/>
      </c>
      <c r="L20" s="135" t="str">
        <f t="shared" si="2"/>
        <v/>
      </c>
      <c r="M20" s="134" t="str">
        <f t="shared" si="3"/>
        <v/>
      </c>
      <c r="N20" s="128"/>
      <c r="O20" s="129"/>
      <c r="P20" s="130"/>
      <c r="Q20" s="132" t="str">
        <f t="shared" si="4"/>
        <v/>
      </c>
      <c r="R20" s="133" t="str">
        <f t="shared" si="5"/>
        <v/>
      </c>
      <c r="S20" s="134" t="str">
        <f t="shared" si="6"/>
        <v/>
      </c>
      <c r="T20" s="128"/>
      <c r="U20" s="129"/>
      <c r="V20" s="130"/>
      <c r="W20" s="136" t="str">
        <f t="shared" si="7"/>
        <v/>
      </c>
      <c r="X20" s="133" t="str">
        <f t="shared" si="8"/>
        <v/>
      </c>
      <c r="Y20" s="134" t="str">
        <f t="shared" si="9"/>
        <v/>
      </c>
      <c r="Z20" s="137" t="str">
        <f t="shared" si="10"/>
        <v/>
      </c>
      <c r="AA20" s="138" t="str">
        <f t="shared" si="11"/>
        <v/>
      </c>
      <c r="AB20" s="139" t="str">
        <f t="shared" si="12"/>
        <v/>
      </c>
      <c r="AC20" s="140" t="str">
        <f t="array" ref="AC20">IF(AB20="","",IFERROR(INDEX(HELPER!$D$8:$D$48,IF(AB20&gt;=HELPER!$B$8,1,MATCH(AB20,HELPER!$B$8:$B$48,-1)+1)),""))</f>
        <v/>
      </c>
      <c r="AD20" s="141" t="str">
        <f>IF(AC20="","",IFERROR(VLOOKUP(AC20,HELPER!$F$8:$G$48,2,FALSE),""))</f>
        <v/>
      </c>
      <c r="AE20" s="6"/>
      <c r="AF20" s="12"/>
    </row>
    <row r="21" ht="15.0" customHeight="1">
      <c r="A21" s="6"/>
      <c r="B21" s="126">
        <v>4.0</v>
      </c>
      <c r="C21" s="106" t="str">
        <f>IF('INPUT DATA'!K14="","",'INPUT DATA'!K14)</f>
        <v/>
      </c>
      <c r="D21" s="107"/>
      <c r="E21" s="108"/>
      <c r="F21" s="128"/>
      <c r="G21" s="129"/>
      <c r="H21" s="129"/>
      <c r="I21" s="129"/>
      <c r="J21" s="130"/>
      <c r="K21" s="132" t="str">
        <f t="shared" si="1"/>
        <v/>
      </c>
      <c r="L21" s="135" t="str">
        <f t="shared" si="2"/>
        <v/>
      </c>
      <c r="M21" s="134" t="str">
        <f t="shared" si="3"/>
        <v/>
      </c>
      <c r="N21" s="128"/>
      <c r="O21" s="129"/>
      <c r="P21" s="130"/>
      <c r="Q21" s="132" t="str">
        <f t="shared" si="4"/>
        <v/>
      </c>
      <c r="R21" s="133" t="str">
        <f t="shared" si="5"/>
        <v/>
      </c>
      <c r="S21" s="134" t="str">
        <f t="shared" si="6"/>
        <v/>
      </c>
      <c r="T21" s="128"/>
      <c r="U21" s="129"/>
      <c r="V21" s="130"/>
      <c r="W21" s="136" t="str">
        <f t="shared" si="7"/>
        <v/>
      </c>
      <c r="X21" s="133" t="str">
        <f t="shared" si="8"/>
        <v/>
      </c>
      <c r="Y21" s="134" t="str">
        <f t="shared" si="9"/>
        <v/>
      </c>
      <c r="Z21" s="137" t="str">
        <f t="shared" si="10"/>
        <v/>
      </c>
      <c r="AA21" s="138" t="str">
        <f t="shared" si="11"/>
        <v/>
      </c>
      <c r="AB21" s="139" t="str">
        <f t="shared" si="12"/>
        <v/>
      </c>
      <c r="AC21" s="140" t="str">
        <f t="array" ref="AC21">IF(AB21="","",IFERROR(INDEX(HELPER!$D$8:$D$48,IF(AB21&gt;=HELPER!$B$8,1,MATCH(AB21,HELPER!$B$8:$B$48,-1)+1)),""))</f>
        <v/>
      </c>
      <c r="AD21" s="141" t="str">
        <f>IF(AC21="","",IFERROR(VLOOKUP(AC21,HELPER!$F$8:$G$48,2,FALSE),""))</f>
        <v/>
      </c>
      <c r="AE21" s="6"/>
      <c r="AF21" s="12"/>
    </row>
    <row r="22" ht="15.0" customHeight="1">
      <c r="A22" s="6"/>
      <c r="B22" s="126">
        <v>5.0</v>
      </c>
      <c r="C22" s="145" t="str">
        <f>IF('INPUT DATA'!K15="","",'INPUT DATA'!K15)</f>
        <v/>
      </c>
      <c r="D22" s="107"/>
      <c r="E22" s="108"/>
      <c r="F22" s="128"/>
      <c r="G22" s="129"/>
      <c r="H22" s="129"/>
      <c r="I22" s="129"/>
      <c r="J22" s="130"/>
      <c r="K22" s="132" t="str">
        <f t="shared" si="1"/>
        <v/>
      </c>
      <c r="L22" s="135" t="str">
        <f t="shared" si="2"/>
        <v/>
      </c>
      <c r="M22" s="134" t="str">
        <f t="shared" si="3"/>
        <v/>
      </c>
      <c r="N22" s="128"/>
      <c r="O22" s="129"/>
      <c r="P22" s="130"/>
      <c r="Q22" s="132" t="str">
        <f t="shared" si="4"/>
        <v/>
      </c>
      <c r="R22" s="133" t="str">
        <f t="shared" si="5"/>
        <v/>
      </c>
      <c r="S22" s="134" t="str">
        <f t="shared" si="6"/>
        <v/>
      </c>
      <c r="T22" s="128"/>
      <c r="U22" s="129"/>
      <c r="V22" s="130"/>
      <c r="W22" s="136" t="str">
        <f t="shared" si="7"/>
        <v/>
      </c>
      <c r="X22" s="133" t="str">
        <f t="shared" si="8"/>
        <v/>
      </c>
      <c r="Y22" s="134" t="str">
        <f t="shared" si="9"/>
        <v/>
      </c>
      <c r="Z22" s="137" t="str">
        <f t="shared" si="10"/>
        <v/>
      </c>
      <c r="AA22" s="138" t="str">
        <f t="shared" si="11"/>
        <v/>
      </c>
      <c r="AB22" s="139" t="str">
        <f t="shared" si="12"/>
        <v/>
      </c>
      <c r="AC22" s="140" t="str">
        <f t="array" ref="AC22">IF(AB22="","",IFERROR(INDEX(HELPER!$D$8:$D$48,IF(AB22&gt;=HELPER!$B$8,1,MATCH(AB22,HELPER!$B$8:$B$48,-1)+1)),""))</f>
        <v/>
      </c>
      <c r="AD22" s="141" t="str">
        <f>IF(AC22="","",IFERROR(VLOOKUP(AC22,HELPER!$F$8:$G$48,2,FALSE),""))</f>
        <v/>
      </c>
      <c r="AE22" s="6"/>
      <c r="AF22" s="12"/>
    </row>
    <row r="23" ht="15.0" customHeight="1">
      <c r="A23" s="6"/>
      <c r="B23" s="126">
        <v>6.0</v>
      </c>
      <c r="C23" s="145" t="str">
        <f>IF('INPUT DATA'!K16="","",'INPUT DATA'!K16)</f>
        <v/>
      </c>
      <c r="D23" s="107"/>
      <c r="E23" s="108"/>
      <c r="F23" s="128"/>
      <c r="G23" s="129"/>
      <c r="H23" s="129"/>
      <c r="I23" s="129"/>
      <c r="J23" s="130"/>
      <c r="K23" s="132" t="str">
        <f t="shared" si="1"/>
        <v/>
      </c>
      <c r="L23" s="135" t="str">
        <f t="shared" si="2"/>
        <v/>
      </c>
      <c r="M23" s="134" t="str">
        <f t="shared" si="3"/>
        <v/>
      </c>
      <c r="N23" s="128"/>
      <c r="O23" s="129"/>
      <c r="P23" s="130"/>
      <c r="Q23" s="132" t="str">
        <f t="shared" si="4"/>
        <v/>
      </c>
      <c r="R23" s="133" t="str">
        <f t="shared" si="5"/>
        <v/>
      </c>
      <c r="S23" s="134" t="str">
        <f t="shared" si="6"/>
        <v/>
      </c>
      <c r="T23" s="128"/>
      <c r="U23" s="129"/>
      <c r="V23" s="130"/>
      <c r="W23" s="136" t="str">
        <f t="shared" si="7"/>
        <v/>
      </c>
      <c r="X23" s="133" t="str">
        <f t="shared" si="8"/>
        <v/>
      </c>
      <c r="Y23" s="134" t="str">
        <f t="shared" si="9"/>
        <v/>
      </c>
      <c r="Z23" s="137" t="str">
        <f t="shared" si="10"/>
        <v/>
      </c>
      <c r="AA23" s="138" t="str">
        <f t="shared" si="11"/>
        <v/>
      </c>
      <c r="AB23" s="139" t="str">
        <f t="shared" si="12"/>
        <v/>
      </c>
      <c r="AC23" s="140" t="str">
        <f t="array" ref="AC23">IF(AB23="","",IFERROR(INDEX(HELPER!$D$8:$D$48,IF(AB23&gt;=HELPER!$B$8,1,MATCH(AB23,HELPER!$B$8:$B$48,-1)+1)),""))</f>
        <v/>
      </c>
      <c r="AD23" s="141" t="str">
        <f>IF(AC23="","",IFERROR(VLOOKUP(AC23,HELPER!$F$8:$G$48,2,FALSE),""))</f>
        <v/>
      </c>
      <c r="AE23" s="6"/>
      <c r="AF23" s="12"/>
    </row>
    <row r="24" ht="15.0" customHeight="1">
      <c r="A24" s="6"/>
      <c r="B24" s="126">
        <v>7.0</v>
      </c>
      <c r="C24" s="145" t="str">
        <f>IF('INPUT DATA'!K17="","",'INPUT DATA'!K17)</f>
        <v/>
      </c>
      <c r="D24" s="107"/>
      <c r="E24" s="108"/>
      <c r="F24" s="128"/>
      <c r="G24" s="129"/>
      <c r="H24" s="129"/>
      <c r="I24" s="129"/>
      <c r="J24" s="130"/>
      <c r="K24" s="132" t="str">
        <f t="shared" si="1"/>
        <v/>
      </c>
      <c r="L24" s="135" t="str">
        <f t="shared" si="2"/>
        <v/>
      </c>
      <c r="M24" s="134" t="str">
        <f t="shared" si="3"/>
        <v/>
      </c>
      <c r="N24" s="128"/>
      <c r="O24" s="129"/>
      <c r="P24" s="130"/>
      <c r="Q24" s="132" t="str">
        <f t="shared" si="4"/>
        <v/>
      </c>
      <c r="R24" s="133" t="str">
        <f t="shared" si="5"/>
        <v/>
      </c>
      <c r="S24" s="134" t="str">
        <f t="shared" si="6"/>
        <v/>
      </c>
      <c r="T24" s="128"/>
      <c r="U24" s="129"/>
      <c r="V24" s="130"/>
      <c r="W24" s="136" t="str">
        <f t="shared" si="7"/>
        <v/>
      </c>
      <c r="X24" s="133" t="str">
        <f t="shared" si="8"/>
        <v/>
      </c>
      <c r="Y24" s="134" t="str">
        <f t="shared" si="9"/>
        <v/>
      </c>
      <c r="Z24" s="137" t="str">
        <f t="shared" si="10"/>
        <v/>
      </c>
      <c r="AA24" s="138" t="str">
        <f t="shared" si="11"/>
        <v/>
      </c>
      <c r="AB24" s="139" t="str">
        <f t="shared" si="12"/>
        <v/>
      </c>
      <c r="AC24" s="140" t="str">
        <f t="array" ref="AC24">IF(AB24="","",IFERROR(INDEX(HELPER!$D$8:$D$48,IF(AB24&gt;=HELPER!$B$8,1,MATCH(AB24,HELPER!$B$8:$B$48,-1)+1)),""))</f>
        <v/>
      </c>
      <c r="AD24" s="141" t="str">
        <f>IF(AC24="","",IFERROR(VLOOKUP(AC24,HELPER!$F$8:$G$48,2,FALSE),""))</f>
        <v/>
      </c>
      <c r="AE24" s="6"/>
      <c r="AF24" s="12"/>
    </row>
    <row r="25" ht="15.0" customHeight="1">
      <c r="A25" s="6"/>
      <c r="B25" s="126">
        <v>8.0</v>
      </c>
      <c r="C25" s="145" t="str">
        <f>IF('INPUT DATA'!K18="","",'INPUT DATA'!K18)</f>
        <v/>
      </c>
      <c r="D25" s="107"/>
      <c r="E25" s="108"/>
      <c r="F25" s="128"/>
      <c r="G25" s="129"/>
      <c r="H25" s="129"/>
      <c r="I25" s="129"/>
      <c r="J25" s="130"/>
      <c r="K25" s="132" t="str">
        <f t="shared" si="1"/>
        <v/>
      </c>
      <c r="L25" s="135" t="str">
        <f t="shared" si="2"/>
        <v/>
      </c>
      <c r="M25" s="134" t="str">
        <f t="shared" si="3"/>
        <v/>
      </c>
      <c r="N25" s="128"/>
      <c r="O25" s="129"/>
      <c r="P25" s="130"/>
      <c r="Q25" s="132" t="str">
        <f t="shared" si="4"/>
        <v/>
      </c>
      <c r="R25" s="133" t="str">
        <f t="shared" si="5"/>
        <v/>
      </c>
      <c r="S25" s="134" t="str">
        <f t="shared" si="6"/>
        <v/>
      </c>
      <c r="T25" s="128"/>
      <c r="U25" s="129"/>
      <c r="V25" s="130"/>
      <c r="W25" s="136" t="str">
        <f t="shared" si="7"/>
        <v/>
      </c>
      <c r="X25" s="133" t="str">
        <f t="shared" si="8"/>
        <v/>
      </c>
      <c r="Y25" s="134" t="str">
        <f t="shared" si="9"/>
        <v/>
      </c>
      <c r="Z25" s="137" t="str">
        <f t="shared" si="10"/>
        <v/>
      </c>
      <c r="AA25" s="138" t="str">
        <f t="shared" si="11"/>
        <v/>
      </c>
      <c r="AB25" s="139" t="str">
        <f t="shared" si="12"/>
        <v/>
      </c>
      <c r="AC25" s="140" t="str">
        <f t="array" ref="AC25">IF(AB25="","",IFERROR(INDEX(HELPER!$D$8:$D$48,IF(AB25&gt;=HELPER!$B$8,1,MATCH(AB25,HELPER!$B$8:$B$48,-1)+1)),""))</f>
        <v/>
      </c>
      <c r="AD25" s="141" t="str">
        <f>IF(AC25="","",IFERROR(VLOOKUP(AC25,HELPER!$F$8:$G$48,2,FALSE),""))</f>
        <v/>
      </c>
      <c r="AE25" s="6"/>
      <c r="AF25" s="12"/>
    </row>
    <row r="26" ht="15.0" customHeight="1">
      <c r="A26" s="6"/>
      <c r="B26" s="126">
        <v>9.0</v>
      </c>
      <c r="C26" s="145" t="str">
        <f>IF('INPUT DATA'!K19="","",'INPUT DATA'!K19)</f>
        <v/>
      </c>
      <c r="D26" s="107"/>
      <c r="E26" s="108"/>
      <c r="F26" s="128"/>
      <c r="G26" s="129"/>
      <c r="H26" s="129"/>
      <c r="I26" s="129"/>
      <c r="J26" s="130"/>
      <c r="K26" s="132" t="str">
        <f t="shared" si="1"/>
        <v/>
      </c>
      <c r="L26" s="135" t="str">
        <f t="shared" si="2"/>
        <v/>
      </c>
      <c r="M26" s="134" t="str">
        <f t="shared" si="3"/>
        <v/>
      </c>
      <c r="N26" s="128"/>
      <c r="O26" s="129"/>
      <c r="P26" s="130"/>
      <c r="Q26" s="132" t="str">
        <f t="shared" si="4"/>
        <v/>
      </c>
      <c r="R26" s="133" t="str">
        <f t="shared" si="5"/>
        <v/>
      </c>
      <c r="S26" s="134" t="str">
        <f t="shared" si="6"/>
        <v/>
      </c>
      <c r="T26" s="128"/>
      <c r="U26" s="129"/>
      <c r="V26" s="130"/>
      <c r="W26" s="136" t="str">
        <f t="shared" si="7"/>
        <v/>
      </c>
      <c r="X26" s="133" t="str">
        <f t="shared" si="8"/>
        <v/>
      </c>
      <c r="Y26" s="134" t="str">
        <f t="shared" si="9"/>
        <v/>
      </c>
      <c r="Z26" s="137" t="str">
        <f t="shared" si="10"/>
        <v/>
      </c>
      <c r="AA26" s="138" t="str">
        <f t="shared" si="11"/>
        <v/>
      </c>
      <c r="AB26" s="139" t="str">
        <f t="shared" si="12"/>
        <v/>
      </c>
      <c r="AC26" s="140" t="str">
        <f t="array" ref="AC26">IF(AB26="","",IFERROR(INDEX(HELPER!$D$8:$D$48,IF(AB26&gt;=HELPER!$B$8,1,MATCH(AB26,HELPER!$B$8:$B$48,-1)+1)),""))</f>
        <v/>
      </c>
      <c r="AD26" s="141" t="str">
        <f>IF(AC26="","",IFERROR(VLOOKUP(AC26,HELPER!$F$8:$G$48,2,FALSE),""))</f>
        <v/>
      </c>
      <c r="AE26" s="6"/>
      <c r="AF26" s="12"/>
    </row>
    <row r="27" ht="15.0" customHeight="1">
      <c r="A27" s="6"/>
      <c r="B27" s="126">
        <v>10.0</v>
      </c>
      <c r="C27" s="145" t="str">
        <f>IF('INPUT DATA'!K20="","",'INPUT DATA'!K20)</f>
        <v/>
      </c>
      <c r="D27" s="107"/>
      <c r="E27" s="108"/>
      <c r="F27" s="128"/>
      <c r="G27" s="129"/>
      <c r="H27" s="129"/>
      <c r="I27" s="129"/>
      <c r="J27" s="130"/>
      <c r="K27" s="132" t="str">
        <f t="shared" si="1"/>
        <v/>
      </c>
      <c r="L27" s="135" t="str">
        <f t="shared" si="2"/>
        <v/>
      </c>
      <c r="M27" s="134" t="str">
        <f t="shared" si="3"/>
        <v/>
      </c>
      <c r="N27" s="128"/>
      <c r="O27" s="129"/>
      <c r="P27" s="130"/>
      <c r="Q27" s="132" t="str">
        <f t="shared" si="4"/>
        <v/>
      </c>
      <c r="R27" s="133" t="str">
        <f t="shared" si="5"/>
        <v/>
      </c>
      <c r="S27" s="134" t="str">
        <f t="shared" si="6"/>
        <v/>
      </c>
      <c r="T27" s="128"/>
      <c r="U27" s="129"/>
      <c r="V27" s="130"/>
      <c r="W27" s="136" t="str">
        <f t="shared" si="7"/>
        <v/>
      </c>
      <c r="X27" s="133" t="str">
        <f t="shared" si="8"/>
        <v/>
      </c>
      <c r="Y27" s="134" t="str">
        <f t="shared" si="9"/>
        <v/>
      </c>
      <c r="Z27" s="137" t="str">
        <f t="shared" si="10"/>
        <v/>
      </c>
      <c r="AA27" s="138" t="str">
        <f t="shared" si="11"/>
        <v/>
      </c>
      <c r="AB27" s="139" t="str">
        <f t="shared" si="12"/>
        <v/>
      </c>
      <c r="AC27" s="140" t="str">
        <f t="array" ref="AC27">IF(AB27="","",IFERROR(INDEX(HELPER!$D$8:$D$48,IF(AB27&gt;=HELPER!$B$8,1,MATCH(AB27,HELPER!$B$8:$B$48,-1)+1)),""))</f>
        <v/>
      </c>
      <c r="AD27" s="141" t="str">
        <f>IF(AC27="","",IFERROR(VLOOKUP(AC27,HELPER!$F$8:$G$48,2,FALSE),""))</f>
        <v/>
      </c>
      <c r="AE27" s="6"/>
      <c r="AF27" s="12"/>
    </row>
    <row r="28" ht="15.0" customHeight="1">
      <c r="A28" s="6"/>
      <c r="B28" s="126">
        <v>11.0</v>
      </c>
      <c r="C28" s="145" t="str">
        <f>IF('INPUT DATA'!K21="","",'INPUT DATA'!K21)</f>
        <v/>
      </c>
      <c r="D28" s="107"/>
      <c r="E28" s="108"/>
      <c r="F28" s="128"/>
      <c r="G28" s="129"/>
      <c r="H28" s="129"/>
      <c r="I28" s="129"/>
      <c r="J28" s="130"/>
      <c r="K28" s="132" t="str">
        <f t="shared" si="1"/>
        <v/>
      </c>
      <c r="L28" s="135" t="str">
        <f t="shared" si="2"/>
        <v/>
      </c>
      <c r="M28" s="134" t="str">
        <f t="shared" si="3"/>
        <v/>
      </c>
      <c r="N28" s="128"/>
      <c r="O28" s="129"/>
      <c r="P28" s="130"/>
      <c r="Q28" s="132" t="str">
        <f t="shared" si="4"/>
        <v/>
      </c>
      <c r="R28" s="133" t="str">
        <f t="shared" si="5"/>
        <v/>
      </c>
      <c r="S28" s="134" t="str">
        <f t="shared" si="6"/>
        <v/>
      </c>
      <c r="T28" s="128"/>
      <c r="U28" s="129"/>
      <c r="V28" s="130"/>
      <c r="W28" s="136" t="str">
        <f t="shared" si="7"/>
        <v/>
      </c>
      <c r="X28" s="133" t="str">
        <f t="shared" si="8"/>
        <v/>
      </c>
      <c r="Y28" s="134" t="str">
        <f t="shared" si="9"/>
        <v/>
      </c>
      <c r="Z28" s="137" t="str">
        <f t="shared" si="10"/>
        <v/>
      </c>
      <c r="AA28" s="138" t="str">
        <f t="shared" si="11"/>
        <v/>
      </c>
      <c r="AB28" s="139" t="str">
        <f t="shared" si="12"/>
        <v/>
      </c>
      <c r="AC28" s="140" t="str">
        <f t="array" ref="AC28">IF(AB28="","",IFERROR(INDEX(HELPER!$D$8:$D$48,IF(AB28&gt;=HELPER!$B$8,1,MATCH(AB28,HELPER!$B$8:$B$48,-1)+1)),""))</f>
        <v/>
      </c>
      <c r="AD28" s="141" t="str">
        <f>IF(AC28="","",IFERROR(VLOOKUP(AC28,HELPER!$F$8:$G$48,2,FALSE),""))</f>
        <v/>
      </c>
      <c r="AE28" s="6"/>
      <c r="AF28" s="12"/>
    </row>
    <row r="29" ht="15.0" customHeight="1">
      <c r="A29" s="6"/>
      <c r="B29" s="126">
        <v>12.0</v>
      </c>
      <c r="C29" s="145" t="str">
        <f>IF('INPUT DATA'!K22="","",'INPUT DATA'!K22)</f>
        <v/>
      </c>
      <c r="D29" s="107"/>
      <c r="E29" s="108"/>
      <c r="F29" s="128"/>
      <c r="G29" s="129"/>
      <c r="H29" s="129"/>
      <c r="I29" s="129"/>
      <c r="J29" s="130"/>
      <c r="K29" s="132" t="str">
        <f t="shared" si="1"/>
        <v/>
      </c>
      <c r="L29" s="135" t="str">
        <f t="shared" si="2"/>
        <v/>
      </c>
      <c r="M29" s="134" t="str">
        <f t="shared" si="3"/>
        <v/>
      </c>
      <c r="N29" s="128"/>
      <c r="O29" s="129"/>
      <c r="P29" s="130"/>
      <c r="Q29" s="132" t="str">
        <f t="shared" si="4"/>
        <v/>
      </c>
      <c r="R29" s="133" t="str">
        <f t="shared" si="5"/>
        <v/>
      </c>
      <c r="S29" s="134" t="str">
        <f t="shared" si="6"/>
        <v/>
      </c>
      <c r="T29" s="128"/>
      <c r="U29" s="129"/>
      <c r="V29" s="130"/>
      <c r="W29" s="136" t="str">
        <f t="shared" si="7"/>
        <v/>
      </c>
      <c r="X29" s="133" t="str">
        <f t="shared" si="8"/>
        <v/>
      </c>
      <c r="Y29" s="134" t="str">
        <f t="shared" si="9"/>
        <v/>
      </c>
      <c r="Z29" s="137" t="str">
        <f t="shared" si="10"/>
        <v/>
      </c>
      <c r="AA29" s="138" t="str">
        <f t="shared" si="11"/>
        <v/>
      </c>
      <c r="AB29" s="139" t="str">
        <f t="shared" si="12"/>
        <v/>
      </c>
      <c r="AC29" s="140" t="str">
        <f t="array" ref="AC29">IF(AB29="","",IFERROR(INDEX(HELPER!$D$8:$D$48,IF(AB29&gt;=HELPER!$B$8,1,MATCH(AB29,HELPER!$B$8:$B$48,-1)+1)),""))</f>
        <v/>
      </c>
      <c r="AD29" s="141" t="str">
        <f>IF(AC29="","",IFERROR(VLOOKUP(AC29,HELPER!$F$8:$G$48,2,FALSE),""))</f>
        <v/>
      </c>
      <c r="AE29" s="6"/>
      <c r="AF29" s="12"/>
    </row>
    <row r="30" ht="15.0" customHeight="1">
      <c r="A30" s="6"/>
      <c r="B30" s="126">
        <v>13.0</v>
      </c>
      <c r="C30" s="145" t="str">
        <f>IF('INPUT DATA'!K23="","",'INPUT DATA'!K23)</f>
        <v/>
      </c>
      <c r="D30" s="107"/>
      <c r="E30" s="108"/>
      <c r="F30" s="128"/>
      <c r="G30" s="129"/>
      <c r="H30" s="129"/>
      <c r="I30" s="129"/>
      <c r="J30" s="130"/>
      <c r="K30" s="132" t="str">
        <f t="shared" si="1"/>
        <v/>
      </c>
      <c r="L30" s="135" t="str">
        <f t="shared" si="2"/>
        <v/>
      </c>
      <c r="M30" s="134" t="str">
        <f t="shared" si="3"/>
        <v/>
      </c>
      <c r="N30" s="128"/>
      <c r="O30" s="129"/>
      <c r="P30" s="130"/>
      <c r="Q30" s="132" t="str">
        <f t="shared" si="4"/>
        <v/>
      </c>
      <c r="R30" s="133" t="str">
        <f t="shared" si="5"/>
        <v/>
      </c>
      <c r="S30" s="134" t="str">
        <f t="shared" si="6"/>
        <v/>
      </c>
      <c r="T30" s="128"/>
      <c r="U30" s="129"/>
      <c r="V30" s="130"/>
      <c r="W30" s="136" t="str">
        <f t="shared" si="7"/>
        <v/>
      </c>
      <c r="X30" s="133" t="str">
        <f t="shared" si="8"/>
        <v/>
      </c>
      <c r="Y30" s="134" t="str">
        <f t="shared" si="9"/>
        <v/>
      </c>
      <c r="Z30" s="137" t="str">
        <f t="shared" si="10"/>
        <v/>
      </c>
      <c r="AA30" s="138" t="str">
        <f t="shared" si="11"/>
        <v/>
      </c>
      <c r="AB30" s="139" t="str">
        <f t="shared" si="12"/>
        <v/>
      </c>
      <c r="AC30" s="140" t="str">
        <f t="array" ref="AC30">IF(AB30="","",IFERROR(INDEX(HELPER!$D$8:$D$48,IF(AB30&gt;=HELPER!$B$8,1,MATCH(AB30,HELPER!$B$8:$B$48,-1)+1)),""))</f>
        <v/>
      </c>
      <c r="AD30" s="141" t="str">
        <f>IF(AC30="","",IFERROR(VLOOKUP(AC30,HELPER!$F$8:$G$48,2,FALSE),""))</f>
        <v/>
      </c>
      <c r="AE30" s="6"/>
      <c r="AF30" s="12"/>
    </row>
    <row r="31" ht="15.0" customHeight="1">
      <c r="A31" s="6"/>
      <c r="B31" s="126">
        <v>14.0</v>
      </c>
      <c r="C31" s="145" t="str">
        <f>IF('INPUT DATA'!K24="","",'INPUT DATA'!K24)</f>
        <v/>
      </c>
      <c r="D31" s="107"/>
      <c r="E31" s="108"/>
      <c r="F31" s="128"/>
      <c r="G31" s="129"/>
      <c r="H31" s="129"/>
      <c r="I31" s="129"/>
      <c r="J31" s="130"/>
      <c r="K31" s="132" t="str">
        <f t="shared" si="1"/>
        <v/>
      </c>
      <c r="L31" s="135" t="str">
        <f t="shared" si="2"/>
        <v/>
      </c>
      <c r="M31" s="134" t="str">
        <f t="shared" si="3"/>
        <v/>
      </c>
      <c r="N31" s="128"/>
      <c r="O31" s="129"/>
      <c r="P31" s="130"/>
      <c r="Q31" s="132" t="str">
        <f t="shared" si="4"/>
        <v/>
      </c>
      <c r="R31" s="133" t="str">
        <f t="shared" si="5"/>
        <v/>
      </c>
      <c r="S31" s="134" t="str">
        <f t="shared" si="6"/>
        <v/>
      </c>
      <c r="T31" s="128"/>
      <c r="U31" s="129"/>
      <c r="V31" s="130"/>
      <c r="W31" s="136" t="str">
        <f t="shared" si="7"/>
        <v/>
      </c>
      <c r="X31" s="133" t="str">
        <f t="shared" si="8"/>
        <v/>
      </c>
      <c r="Y31" s="134" t="str">
        <f t="shared" si="9"/>
        <v/>
      </c>
      <c r="Z31" s="137" t="str">
        <f t="shared" si="10"/>
        <v/>
      </c>
      <c r="AA31" s="138" t="str">
        <f t="shared" si="11"/>
        <v/>
      </c>
      <c r="AB31" s="139" t="str">
        <f t="shared" si="12"/>
        <v/>
      </c>
      <c r="AC31" s="140" t="str">
        <f t="array" ref="AC31">IF(AB31="","",IFERROR(INDEX(HELPER!$D$8:$D$48,IF(AB31&gt;=HELPER!$B$8,1,MATCH(AB31,HELPER!$B$8:$B$48,-1)+1)),""))</f>
        <v/>
      </c>
      <c r="AD31" s="141" t="str">
        <f>IF(AC31="","",IFERROR(VLOOKUP(AC31,HELPER!$F$8:$G$48,2,FALSE),""))</f>
        <v/>
      </c>
      <c r="AE31" s="6"/>
      <c r="AF31" s="12"/>
    </row>
    <row r="32" ht="15.0" customHeight="1">
      <c r="A32" s="6"/>
      <c r="B32" s="126">
        <v>15.0</v>
      </c>
      <c r="C32" s="145" t="str">
        <f>IF('INPUT DATA'!K25="","",'INPUT DATA'!K25)</f>
        <v/>
      </c>
      <c r="D32" s="107"/>
      <c r="E32" s="108"/>
      <c r="F32" s="128"/>
      <c r="G32" s="129"/>
      <c r="H32" s="129"/>
      <c r="I32" s="129"/>
      <c r="J32" s="130"/>
      <c r="K32" s="132" t="str">
        <f t="shared" si="1"/>
        <v/>
      </c>
      <c r="L32" s="135" t="str">
        <f t="shared" si="2"/>
        <v/>
      </c>
      <c r="M32" s="134" t="str">
        <f t="shared" si="3"/>
        <v/>
      </c>
      <c r="N32" s="128"/>
      <c r="O32" s="129"/>
      <c r="P32" s="130"/>
      <c r="Q32" s="132" t="str">
        <f t="shared" si="4"/>
        <v/>
      </c>
      <c r="R32" s="133" t="str">
        <f t="shared" si="5"/>
        <v/>
      </c>
      <c r="S32" s="134" t="str">
        <f t="shared" si="6"/>
        <v/>
      </c>
      <c r="T32" s="128"/>
      <c r="U32" s="129"/>
      <c r="V32" s="130"/>
      <c r="W32" s="136" t="str">
        <f t="shared" si="7"/>
        <v/>
      </c>
      <c r="X32" s="133" t="str">
        <f t="shared" si="8"/>
        <v/>
      </c>
      <c r="Y32" s="134" t="str">
        <f t="shared" si="9"/>
        <v/>
      </c>
      <c r="Z32" s="137" t="str">
        <f t="shared" si="10"/>
        <v/>
      </c>
      <c r="AA32" s="138" t="str">
        <f t="shared" si="11"/>
        <v/>
      </c>
      <c r="AB32" s="139" t="str">
        <f t="shared" si="12"/>
        <v/>
      </c>
      <c r="AC32" s="140" t="str">
        <f t="array" ref="AC32">IF(AB32="","",IFERROR(INDEX(HELPER!$D$8:$D$48,IF(AB32&gt;=HELPER!$B$8,1,MATCH(AB32,HELPER!$B$8:$B$48,-1)+1)),""))</f>
        <v/>
      </c>
      <c r="AD32" s="141" t="str">
        <f>IF(AC32="","",IFERROR(VLOOKUP(AC32,HELPER!$F$8:$G$48,2,FALSE),""))</f>
        <v/>
      </c>
      <c r="AE32" s="6"/>
      <c r="AF32" s="12"/>
    </row>
    <row r="33" ht="15.0" customHeight="1">
      <c r="A33" s="6"/>
      <c r="B33" s="126">
        <v>16.0</v>
      </c>
      <c r="C33" s="145" t="str">
        <f>IF('INPUT DATA'!K26="","",'INPUT DATA'!K26)</f>
        <v/>
      </c>
      <c r="D33" s="107"/>
      <c r="E33" s="108"/>
      <c r="F33" s="128"/>
      <c r="G33" s="129"/>
      <c r="H33" s="129"/>
      <c r="I33" s="129"/>
      <c r="J33" s="130"/>
      <c r="K33" s="132" t="str">
        <f t="shared" si="1"/>
        <v/>
      </c>
      <c r="L33" s="135" t="str">
        <f t="shared" si="2"/>
        <v/>
      </c>
      <c r="M33" s="134" t="str">
        <f t="shared" si="3"/>
        <v/>
      </c>
      <c r="N33" s="128"/>
      <c r="O33" s="129"/>
      <c r="P33" s="130"/>
      <c r="Q33" s="132" t="str">
        <f t="shared" si="4"/>
        <v/>
      </c>
      <c r="R33" s="133" t="str">
        <f t="shared" si="5"/>
        <v/>
      </c>
      <c r="S33" s="134" t="str">
        <f t="shared" si="6"/>
        <v/>
      </c>
      <c r="T33" s="128"/>
      <c r="U33" s="129"/>
      <c r="V33" s="130"/>
      <c r="W33" s="136" t="str">
        <f t="shared" si="7"/>
        <v/>
      </c>
      <c r="X33" s="133" t="str">
        <f t="shared" si="8"/>
        <v/>
      </c>
      <c r="Y33" s="134" t="str">
        <f t="shared" si="9"/>
        <v/>
      </c>
      <c r="Z33" s="137" t="str">
        <f t="shared" si="10"/>
        <v/>
      </c>
      <c r="AA33" s="138" t="str">
        <f t="shared" si="11"/>
        <v/>
      </c>
      <c r="AB33" s="139" t="str">
        <f t="shared" si="12"/>
        <v/>
      </c>
      <c r="AC33" s="140" t="str">
        <f t="array" ref="AC33">IF(AB33="","",IFERROR(INDEX(HELPER!$D$8:$D$48,IF(AB33&gt;=HELPER!$B$8,1,MATCH(AB33,HELPER!$B$8:$B$48,-1)+1)),""))</f>
        <v/>
      </c>
      <c r="AD33" s="141" t="str">
        <f>IF(AC33="","",IFERROR(VLOOKUP(AC33,HELPER!$F$8:$G$48,2,FALSE),""))</f>
        <v/>
      </c>
      <c r="AE33" s="6"/>
      <c r="AF33" s="12"/>
    </row>
    <row r="34" ht="15.0" customHeight="1">
      <c r="A34" s="6"/>
      <c r="B34" s="126">
        <v>17.0</v>
      </c>
      <c r="C34" s="145" t="str">
        <f>IF('INPUT DATA'!K27="","",'INPUT DATA'!K27)</f>
        <v/>
      </c>
      <c r="D34" s="107"/>
      <c r="E34" s="108"/>
      <c r="F34" s="128"/>
      <c r="G34" s="129"/>
      <c r="H34" s="129"/>
      <c r="I34" s="129"/>
      <c r="J34" s="130"/>
      <c r="K34" s="132" t="str">
        <f t="shared" si="1"/>
        <v/>
      </c>
      <c r="L34" s="135" t="str">
        <f t="shared" si="2"/>
        <v/>
      </c>
      <c r="M34" s="134" t="str">
        <f t="shared" si="3"/>
        <v/>
      </c>
      <c r="N34" s="128"/>
      <c r="O34" s="129"/>
      <c r="P34" s="130"/>
      <c r="Q34" s="132" t="str">
        <f t="shared" si="4"/>
        <v/>
      </c>
      <c r="R34" s="133" t="str">
        <f t="shared" si="5"/>
        <v/>
      </c>
      <c r="S34" s="134" t="str">
        <f t="shared" si="6"/>
        <v/>
      </c>
      <c r="T34" s="128"/>
      <c r="U34" s="129"/>
      <c r="V34" s="130"/>
      <c r="W34" s="136" t="str">
        <f t="shared" si="7"/>
        <v/>
      </c>
      <c r="X34" s="133" t="str">
        <f t="shared" si="8"/>
        <v/>
      </c>
      <c r="Y34" s="134" t="str">
        <f t="shared" si="9"/>
        <v/>
      </c>
      <c r="Z34" s="137" t="str">
        <f t="shared" si="10"/>
        <v/>
      </c>
      <c r="AA34" s="138" t="str">
        <f t="shared" si="11"/>
        <v/>
      </c>
      <c r="AB34" s="139" t="str">
        <f t="shared" si="12"/>
        <v/>
      </c>
      <c r="AC34" s="140" t="str">
        <f t="array" ref="AC34">IF(AB34="","",IFERROR(INDEX(HELPER!$D$8:$D$48,IF(AB34&gt;=HELPER!$B$8,1,MATCH(AB34,HELPER!$B$8:$B$48,-1)+1)),""))</f>
        <v/>
      </c>
      <c r="AD34" s="141" t="str">
        <f>IF(AC34="","",IFERROR(VLOOKUP(AC34,HELPER!$F$8:$G$48,2,FALSE),""))</f>
        <v/>
      </c>
      <c r="AE34" s="6"/>
      <c r="AF34" s="12"/>
    </row>
    <row r="35" ht="15.0" customHeight="1">
      <c r="A35" s="6"/>
      <c r="B35" s="126">
        <v>18.0</v>
      </c>
      <c r="C35" s="145" t="str">
        <f>IF('INPUT DATA'!K28="","",'INPUT DATA'!K28)</f>
        <v/>
      </c>
      <c r="D35" s="107"/>
      <c r="E35" s="108"/>
      <c r="F35" s="128"/>
      <c r="G35" s="129"/>
      <c r="H35" s="129"/>
      <c r="I35" s="129"/>
      <c r="J35" s="130"/>
      <c r="K35" s="132" t="str">
        <f t="shared" si="1"/>
        <v/>
      </c>
      <c r="L35" s="135" t="str">
        <f t="shared" si="2"/>
        <v/>
      </c>
      <c r="M35" s="134" t="str">
        <f t="shared" si="3"/>
        <v/>
      </c>
      <c r="N35" s="128"/>
      <c r="O35" s="129"/>
      <c r="P35" s="130"/>
      <c r="Q35" s="132" t="str">
        <f t="shared" si="4"/>
        <v/>
      </c>
      <c r="R35" s="133" t="str">
        <f t="shared" si="5"/>
        <v/>
      </c>
      <c r="S35" s="134" t="str">
        <f t="shared" si="6"/>
        <v/>
      </c>
      <c r="T35" s="128"/>
      <c r="U35" s="129"/>
      <c r="V35" s="130"/>
      <c r="W35" s="136" t="str">
        <f t="shared" si="7"/>
        <v/>
      </c>
      <c r="X35" s="133" t="str">
        <f t="shared" si="8"/>
        <v/>
      </c>
      <c r="Y35" s="134" t="str">
        <f t="shared" si="9"/>
        <v/>
      </c>
      <c r="Z35" s="137" t="str">
        <f t="shared" si="10"/>
        <v/>
      </c>
      <c r="AA35" s="138" t="str">
        <f t="shared" si="11"/>
        <v/>
      </c>
      <c r="AB35" s="139" t="str">
        <f t="shared" si="12"/>
        <v/>
      </c>
      <c r="AC35" s="140" t="str">
        <f t="array" ref="AC35">IF(AB35="","",IFERROR(INDEX(HELPER!$D$8:$D$48,IF(AB35&gt;=HELPER!$B$8,1,MATCH(AB35,HELPER!$B$8:$B$48,-1)+1)),""))</f>
        <v/>
      </c>
      <c r="AD35" s="141" t="str">
        <f>IF(AC35="","",IFERROR(VLOOKUP(AC35,HELPER!$F$8:$G$48,2,FALSE),""))</f>
        <v/>
      </c>
      <c r="AE35" s="6"/>
      <c r="AF35" s="12"/>
    </row>
    <row r="36" ht="15.0" customHeight="1">
      <c r="A36" s="6"/>
      <c r="B36" s="126">
        <v>19.0</v>
      </c>
      <c r="C36" s="145" t="str">
        <f>IF('INPUT DATA'!K29="","",'INPUT DATA'!K29)</f>
        <v/>
      </c>
      <c r="D36" s="107"/>
      <c r="E36" s="108"/>
      <c r="F36" s="128"/>
      <c r="G36" s="129"/>
      <c r="H36" s="129"/>
      <c r="I36" s="129"/>
      <c r="J36" s="130"/>
      <c r="K36" s="132" t="str">
        <f t="shared" si="1"/>
        <v/>
      </c>
      <c r="L36" s="135" t="str">
        <f t="shared" si="2"/>
        <v/>
      </c>
      <c r="M36" s="134" t="str">
        <f t="shared" si="3"/>
        <v/>
      </c>
      <c r="N36" s="128"/>
      <c r="O36" s="129"/>
      <c r="P36" s="130"/>
      <c r="Q36" s="132" t="str">
        <f t="shared" si="4"/>
        <v/>
      </c>
      <c r="R36" s="133" t="str">
        <f t="shared" si="5"/>
        <v/>
      </c>
      <c r="S36" s="134" t="str">
        <f t="shared" si="6"/>
        <v/>
      </c>
      <c r="T36" s="128"/>
      <c r="U36" s="129"/>
      <c r="V36" s="130"/>
      <c r="W36" s="136" t="str">
        <f t="shared" si="7"/>
        <v/>
      </c>
      <c r="X36" s="133" t="str">
        <f t="shared" si="8"/>
        <v/>
      </c>
      <c r="Y36" s="134" t="str">
        <f t="shared" si="9"/>
        <v/>
      </c>
      <c r="Z36" s="137" t="str">
        <f t="shared" si="10"/>
        <v/>
      </c>
      <c r="AA36" s="138" t="str">
        <f t="shared" si="11"/>
        <v/>
      </c>
      <c r="AB36" s="139" t="str">
        <f t="shared" si="12"/>
        <v/>
      </c>
      <c r="AC36" s="140" t="str">
        <f t="array" ref="AC36">IF(AB36="","",IFERROR(INDEX(HELPER!$D$8:$D$48,IF(AB36&gt;=HELPER!$B$8,1,MATCH(AB36,HELPER!$B$8:$B$48,-1)+1)),""))</f>
        <v/>
      </c>
      <c r="AD36" s="141" t="str">
        <f>IF(AC36="","",IFERROR(VLOOKUP(AC36,HELPER!$F$8:$G$48,2,FALSE),""))</f>
        <v/>
      </c>
      <c r="AE36" s="6"/>
      <c r="AF36" s="12"/>
    </row>
    <row r="37" ht="15.0" customHeight="1">
      <c r="A37" s="6"/>
      <c r="B37" s="168">
        <v>20.0</v>
      </c>
      <c r="C37" s="145" t="str">
        <f>IF('INPUT DATA'!K30="","",'INPUT DATA'!K30)</f>
        <v/>
      </c>
      <c r="D37" s="107"/>
      <c r="E37" s="108"/>
      <c r="F37" s="128"/>
      <c r="G37" s="129"/>
      <c r="H37" s="129"/>
      <c r="I37" s="129"/>
      <c r="J37" s="130"/>
      <c r="K37" s="132" t="str">
        <f t="shared" si="1"/>
        <v/>
      </c>
      <c r="L37" s="135" t="str">
        <f t="shared" si="2"/>
        <v/>
      </c>
      <c r="M37" s="134" t="str">
        <f t="shared" si="3"/>
        <v/>
      </c>
      <c r="N37" s="128"/>
      <c r="O37" s="129"/>
      <c r="P37" s="130"/>
      <c r="Q37" s="132" t="str">
        <f t="shared" si="4"/>
        <v/>
      </c>
      <c r="R37" s="133" t="str">
        <f t="shared" si="5"/>
        <v/>
      </c>
      <c r="S37" s="134" t="str">
        <f t="shared" si="6"/>
        <v/>
      </c>
      <c r="T37" s="128"/>
      <c r="U37" s="129"/>
      <c r="V37" s="130"/>
      <c r="W37" s="136" t="str">
        <f t="shared" si="7"/>
        <v/>
      </c>
      <c r="X37" s="133" t="str">
        <f t="shared" si="8"/>
        <v/>
      </c>
      <c r="Y37" s="134" t="str">
        <f t="shared" si="9"/>
        <v/>
      </c>
      <c r="Z37" s="137" t="str">
        <f t="shared" si="10"/>
        <v/>
      </c>
      <c r="AA37" s="138" t="str">
        <f t="shared" si="11"/>
        <v/>
      </c>
      <c r="AB37" s="139" t="str">
        <f t="shared" si="12"/>
        <v/>
      </c>
      <c r="AC37" s="140" t="str">
        <f t="array" ref="AC37">IF(AB37="","",IFERROR(INDEX(HELPER!$D$8:$D$48,IF(AB37&gt;=HELPER!$B$8,1,MATCH(AB37,HELPER!$B$8:$B$48,-1)+1)),""))</f>
        <v/>
      </c>
      <c r="AD37" s="141" t="str">
        <f>IF(AC37="","",IFERROR(VLOOKUP(AC37,HELPER!$F$8:$G$48,2,FALSE),""))</f>
        <v/>
      </c>
      <c r="AE37" s="6"/>
      <c r="AF37" s="12"/>
    </row>
    <row r="38" ht="15.0" customHeight="1">
      <c r="A38" s="6"/>
      <c r="B38" s="168">
        <v>21.0</v>
      </c>
      <c r="C38" s="145" t="str">
        <f>IF('INPUT DATA'!K31="","",'INPUT DATA'!K31)</f>
        <v/>
      </c>
      <c r="D38" s="107"/>
      <c r="E38" s="108"/>
      <c r="F38" s="128"/>
      <c r="G38" s="129"/>
      <c r="H38" s="129"/>
      <c r="I38" s="129"/>
      <c r="J38" s="130"/>
      <c r="K38" s="132" t="str">
        <f t="shared" si="1"/>
        <v/>
      </c>
      <c r="L38" s="135" t="str">
        <f t="shared" si="2"/>
        <v/>
      </c>
      <c r="M38" s="134" t="str">
        <f t="shared" si="3"/>
        <v/>
      </c>
      <c r="N38" s="128"/>
      <c r="O38" s="129"/>
      <c r="P38" s="130"/>
      <c r="Q38" s="132" t="str">
        <f t="shared" si="4"/>
        <v/>
      </c>
      <c r="R38" s="133" t="str">
        <f t="shared" si="5"/>
        <v/>
      </c>
      <c r="S38" s="134" t="str">
        <f t="shared" si="6"/>
        <v/>
      </c>
      <c r="T38" s="128"/>
      <c r="U38" s="129"/>
      <c r="V38" s="130"/>
      <c r="W38" s="136" t="str">
        <f t="shared" si="7"/>
        <v/>
      </c>
      <c r="X38" s="133" t="str">
        <f t="shared" si="8"/>
        <v/>
      </c>
      <c r="Y38" s="134" t="str">
        <f t="shared" si="9"/>
        <v/>
      </c>
      <c r="Z38" s="137" t="str">
        <f t="shared" si="10"/>
        <v/>
      </c>
      <c r="AA38" s="138" t="str">
        <f t="shared" si="11"/>
        <v/>
      </c>
      <c r="AB38" s="139" t="str">
        <f t="shared" si="12"/>
        <v/>
      </c>
      <c r="AC38" s="140" t="str">
        <f t="array" ref="AC38">IF(AB38="","",IFERROR(INDEX(HELPER!$D$8:$D$48,IF(AB38&gt;=HELPER!$B$8,1,MATCH(AB38,HELPER!$B$8:$B$48,-1)+1)),""))</f>
        <v/>
      </c>
      <c r="AD38" s="141" t="str">
        <f>IF(AC38="","",IFERROR(VLOOKUP(AC38,HELPER!$F$8:$G$48,2,FALSE),""))</f>
        <v/>
      </c>
      <c r="AE38" s="6"/>
      <c r="AF38" s="12"/>
    </row>
    <row r="39" ht="15.0" customHeight="1">
      <c r="A39" s="6"/>
      <c r="B39" s="168">
        <v>22.0</v>
      </c>
      <c r="C39" s="145" t="str">
        <f>IF('INPUT DATA'!K32="","",'INPUT DATA'!K32)</f>
        <v/>
      </c>
      <c r="D39" s="107"/>
      <c r="E39" s="108"/>
      <c r="F39" s="128"/>
      <c r="G39" s="129"/>
      <c r="H39" s="129"/>
      <c r="I39" s="129"/>
      <c r="J39" s="130"/>
      <c r="K39" s="132" t="str">
        <f t="shared" si="1"/>
        <v/>
      </c>
      <c r="L39" s="135" t="str">
        <f t="shared" si="2"/>
        <v/>
      </c>
      <c r="M39" s="134" t="str">
        <f t="shared" si="3"/>
        <v/>
      </c>
      <c r="N39" s="128"/>
      <c r="O39" s="129"/>
      <c r="P39" s="130"/>
      <c r="Q39" s="132" t="str">
        <f t="shared" si="4"/>
        <v/>
      </c>
      <c r="R39" s="133" t="str">
        <f t="shared" si="5"/>
        <v/>
      </c>
      <c r="S39" s="134" t="str">
        <f t="shared" si="6"/>
        <v/>
      </c>
      <c r="T39" s="128"/>
      <c r="U39" s="129"/>
      <c r="V39" s="130"/>
      <c r="W39" s="136" t="str">
        <f t="shared" si="7"/>
        <v/>
      </c>
      <c r="X39" s="133" t="str">
        <f t="shared" si="8"/>
        <v/>
      </c>
      <c r="Y39" s="134" t="str">
        <f t="shared" si="9"/>
        <v/>
      </c>
      <c r="Z39" s="137" t="str">
        <f t="shared" si="10"/>
        <v/>
      </c>
      <c r="AA39" s="138" t="str">
        <f t="shared" si="11"/>
        <v/>
      </c>
      <c r="AB39" s="139" t="str">
        <f t="shared" si="12"/>
        <v/>
      </c>
      <c r="AC39" s="140" t="str">
        <f t="array" ref="AC39">IF(AB39="","",IFERROR(INDEX(HELPER!$D$8:$D$48,IF(AB39&gt;=HELPER!$B$8,1,MATCH(AB39,HELPER!$B$8:$B$48,-1)+1)),""))</f>
        <v/>
      </c>
      <c r="AD39" s="141" t="str">
        <f>IF(AC39="","",IFERROR(VLOOKUP(AC39,HELPER!$F$8:$G$48,2,FALSE),""))</f>
        <v/>
      </c>
      <c r="AE39" s="6"/>
      <c r="AF39" s="12"/>
    </row>
    <row r="40" ht="15.0" customHeight="1">
      <c r="A40" s="6"/>
      <c r="B40" s="168">
        <v>23.0</v>
      </c>
      <c r="C40" s="145" t="str">
        <f>IF('INPUT DATA'!K33="","",'INPUT DATA'!K33)</f>
        <v/>
      </c>
      <c r="D40" s="107"/>
      <c r="E40" s="108"/>
      <c r="F40" s="128"/>
      <c r="G40" s="129"/>
      <c r="H40" s="129"/>
      <c r="I40" s="129"/>
      <c r="J40" s="130"/>
      <c r="K40" s="132" t="str">
        <f t="shared" si="1"/>
        <v/>
      </c>
      <c r="L40" s="135" t="str">
        <f t="shared" si="2"/>
        <v/>
      </c>
      <c r="M40" s="134" t="str">
        <f t="shared" si="3"/>
        <v/>
      </c>
      <c r="N40" s="128"/>
      <c r="O40" s="129"/>
      <c r="P40" s="130"/>
      <c r="Q40" s="132" t="str">
        <f t="shared" si="4"/>
        <v/>
      </c>
      <c r="R40" s="133" t="str">
        <f t="shared" si="5"/>
        <v/>
      </c>
      <c r="S40" s="134" t="str">
        <f t="shared" si="6"/>
        <v/>
      </c>
      <c r="T40" s="128"/>
      <c r="U40" s="129"/>
      <c r="V40" s="130"/>
      <c r="W40" s="136" t="str">
        <f t="shared" si="7"/>
        <v/>
      </c>
      <c r="X40" s="133" t="str">
        <f t="shared" si="8"/>
        <v/>
      </c>
      <c r="Y40" s="134" t="str">
        <f t="shared" si="9"/>
        <v/>
      </c>
      <c r="Z40" s="137" t="str">
        <f t="shared" si="10"/>
        <v/>
      </c>
      <c r="AA40" s="138" t="str">
        <f t="shared" si="11"/>
        <v/>
      </c>
      <c r="AB40" s="139" t="str">
        <f t="shared" si="12"/>
        <v/>
      </c>
      <c r="AC40" s="140" t="str">
        <f t="array" ref="AC40">IF(AB40="","",IFERROR(INDEX(HELPER!$D$8:$D$48,IF(AB40&gt;=HELPER!$B$8,1,MATCH(AB40,HELPER!$B$8:$B$48,-1)+1)),""))</f>
        <v/>
      </c>
      <c r="AD40" s="141" t="str">
        <f>IF(AC40="","",IFERROR(VLOOKUP(AC40,HELPER!$F$8:$G$48,2,FALSE),""))</f>
        <v/>
      </c>
      <c r="AE40" s="6"/>
      <c r="AF40" s="12"/>
    </row>
    <row r="41" ht="15.0" customHeight="1">
      <c r="A41" s="6"/>
      <c r="B41" s="168">
        <v>24.0</v>
      </c>
      <c r="C41" s="145" t="str">
        <f>IF('INPUT DATA'!K34="","",'INPUT DATA'!K34)</f>
        <v/>
      </c>
      <c r="D41" s="107"/>
      <c r="E41" s="108"/>
      <c r="F41" s="128"/>
      <c r="G41" s="129"/>
      <c r="H41" s="129"/>
      <c r="I41" s="129"/>
      <c r="J41" s="130"/>
      <c r="K41" s="132" t="str">
        <f t="shared" si="1"/>
        <v/>
      </c>
      <c r="L41" s="135" t="str">
        <f t="shared" si="2"/>
        <v/>
      </c>
      <c r="M41" s="134" t="str">
        <f t="shared" si="3"/>
        <v/>
      </c>
      <c r="N41" s="128"/>
      <c r="O41" s="129"/>
      <c r="P41" s="130"/>
      <c r="Q41" s="132" t="str">
        <f t="shared" si="4"/>
        <v/>
      </c>
      <c r="R41" s="133" t="str">
        <f t="shared" si="5"/>
        <v/>
      </c>
      <c r="S41" s="134" t="str">
        <f t="shared" si="6"/>
        <v/>
      </c>
      <c r="T41" s="128"/>
      <c r="U41" s="129"/>
      <c r="V41" s="130"/>
      <c r="W41" s="136" t="str">
        <f t="shared" si="7"/>
        <v/>
      </c>
      <c r="X41" s="133" t="str">
        <f t="shared" si="8"/>
        <v/>
      </c>
      <c r="Y41" s="134" t="str">
        <f t="shared" si="9"/>
        <v/>
      </c>
      <c r="Z41" s="137" t="str">
        <f t="shared" si="10"/>
        <v/>
      </c>
      <c r="AA41" s="138" t="str">
        <f t="shared" si="11"/>
        <v/>
      </c>
      <c r="AB41" s="139" t="str">
        <f t="shared" si="12"/>
        <v/>
      </c>
      <c r="AC41" s="140" t="str">
        <f t="array" ref="AC41">IF(AB41="","",IFERROR(INDEX(HELPER!$D$8:$D$48,IF(AB41&gt;=HELPER!$B$8,1,MATCH(AB41,HELPER!$B$8:$B$48,-1)+1)),""))</f>
        <v/>
      </c>
      <c r="AD41" s="141" t="str">
        <f>IF(AC41="","",IFERROR(VLOOKUP(AC41,HELPER!$F$8:$G$48,2,FALSE),""))</f>
        <v/>
      </c>
      <c r="AE41" s="6"/>
      <c r="AF41" s="12"/>
    </row>
    <row r="42" ht="15.0" customHeight="1">
      <c r="A42" s="6"/>
      <c r="B42" s="168">
        <v>25.0</v>
      </c>
      <c r="C42" s="145" t="str">
        <f>IF('INPUT DATA'!K35="","",'INPUT DATA'!K35)</f>
        <v/>
      </c>
      <c r="D42" s="107"/>
      <c r="E42" s="108"/>
      <c r="F42" s="128"/>
      <c r="G42" s="129"/>
      <c r="H42" s="129"/>
      <c r="I42" s="129"/>
      <c r="J42" s="130"/>
      <c r="K42" s="132" t="str">
        <f t="shared" si="1"/>
        <v/>
      </c>
      <c r="L42" s="135" t="str">
        <f t="shared" si="2"/>
        <v/>
      </c>
      <c r="M42" s="134" t="str">
        <f t="shared" si="3"/>
        <v/>
      </c>
      <c r="N42" s="128"/>
      <c r="O42" s="129"/>
      <c r="P42" s="130"/>
      <c r="Q42" s="132" t="str">
        <f t="shared" si="4"/>
        <v/>
      </c>
      <c r="R42" s="133" t="str">
        <f t="shared" si="5"/>
        <v/>
      </c>
      <c r="S42" s="134" t="str">
        <f t="shared" si="6"/>
        <v/>
      </c>
      <c r="T42" s="128"/>
      <c r="U42" s="129"/>
      <c r="V42" s="130"/>
      <c r="W42" s="136" t="str">
        <f t="shared" si="7"/>
        <v/>
      </c>
      <c r="X42" s="133" t="str">
        <f t="shared" si="8"/>
        <v/>
      </c>
      <c r="Y42" s="134" t="str">
        <f t="shared" si="9"/>
        <v/>
      </c>
      <c r="Z42" s="137" t="str">
        <f t="shared" si="10"/>
        <v/>
      </c>
      <c r="AA42" s="138" t="str">
        <f t="shared" si="11"/>
        <v/>
      </c>
      <c r="AB42" s="139" t="str">
        <f t="shared" si="12"/>
        <v/>
      </c>
      <c r="AC42" s="140" t="str">
        <f t="array" ref="AC42">IF(AB42="","",IFERROR(INDEX(HELPER!$D$8:$D$48,IF(AB42&gt;=HELPER!$B$8,1,MATCH(AB42,HELPER!$B$8:$B$48,-1)+1)),""))</f>
        <v/>
      </c>
      <c r="AD42" s="141" t="str">
        <f>IF(AC42="","",IFERROR(VLOOKUP(AC42,HELPER!$F$8:$G$48,2,FALSE),""))</f>
        <v/>
      </c>
      <c r="AE42" s="6"/>
      <c r="AF42" s="12"/>
    </row>
    <row r="43" ht="15.0" customHeight="1">
      <c r="A43" s="6"/>
      <c r="B43" s="168">
        <v>26.0</v>
      </c>
      <c r="C43" s="145" t="str">
        <f>IF('INPUT DATA'!K36="","",'INPUT DATA'!K36)</f>
        <v/>
      </c>
      <c r="D43" s="107"/>
      <c r="E43" s="108"/>
      <c r="F43" s="128"/>
      <c r="G43" s="129"/>
      <c r="H43" s="129"/>
      <c r="I43" s="129"/>
      <c r="J43" s="130"/>
      <c r="K43" s="132" t="str">
        <f t="shared" si="1"/>
        <v/>
      </c>
      <c r="L43" s="135" t="str">
        <f t="shared" si="2"/>
        <v/>
      </c>
      <c r="M43" s="134" t="str">
        <f t="shared" si="3"/>
        <v/>
      </c>
      <c r="N43" s="128"/>
      <c r="O43" s="129"/>
      <c r="P43" s="130"/>
      <c r="Q43" s="132" t="str">
        <f t="shared" si="4"/>
        <v/>
      </c>
      <c r="R43" s="133" t="str">
        <f t="shared" si="5"/>
        <v/>
      </c>
      <c r="S43" s="134" t="str">
        <f t="shared" si="6"/>
        <v/>
      </c>
      <c r="T43" s="128"/>
      <c r="U43" s="129"/>
      <c r="V43" s="130"/>
      <c r="W43" s="136" t="str">
        <f t="shared" si="7"/>
        <v/>
      </c>
      <c r="X43" s="133" t="str">
        <f t="shared" si="8"/>
        <v/>
      </c>
      <c r="Y43" s="134" t="str">
        <f t="shared" si="9"/>
        <v/>
      </c>
      <c r="Z43" s="137" t="str">
        <f t="shared" si="10"/>
        <v/>
      </c>
      <c r="AA43" s="138" t="str">
        <f t="shared" si="11"/>
        <v/>
      </c>
      <c r="AB43" s="139" t="str">
        <f t="shared" si="12"/>
        <v/>
      </c>
      <c r="AC43" s="140" t="str">
        <f t="array" ref="AC43">IF(AB43="","",IFERROR(INDEX(HELPER!$D$8:$D$48,IF(AB43&gt;=HELPER!$B$8,1,MATCH(AB43,HELPER!$B$8:$B$48,-1)+1)),""))</f>
        <v/>
      </c>
      <c r="AD43" s="141" t="str">
        <f>IF(AC43="","",IFERROR(VLOOKUP(AC43,HELPER!$F$8:$G$48,2,FALSE),""))</f>
        <v/>
      </c>
      <c r="AE43" s="6"/>
      <c r="AF43" s="12"/>
    </row>
    <row r="44" ht="15.0" customHeight="1">
      <c r="A44" s="6"/>
      <c r="B44" s="168">
        <v>27.0</v>
      </c>
      <c r="C44" s="145" t="str">
        <f>IF('INPUT DATA'!K37="","",'INPUT DATA'!K37)</f>
        <v/>
      </c>
      <c r="D44" s="107"/>
      <c r="E44" s="108"/>
      <c r="F44" s="128"/>
      <c r="G44" s="129"/>
      <c r="H44" s="129"/>
      <c r="I44" s="129"/>
      <c r="J44" s="130"/>
      <c r="K44" s="132" t="str">
        <f t="shared" si="1"/>
        <v/>
      </c>
      <c r="L44" s="135" t="str">
        <f t="shared" si="2"/>
        <v/>
      </c>
      <c r="M44" s="134" t="str">
        <f t="shared" si="3"/>
        <v/>
      </c>
      <c r="N44" s="128"/>
      <c r="O44" s="129"/>
      <c r="P44" s="130"/>
      <c r="Q44" s="132" t="str">
        <f t="shared" si="4"/>
        <v/>
      </c>
      <c r="R44" s="133" t="str">
        <f t="shared" si="5"/>
        <v/>
      </c>
      <c r="S44" s="134" t="str">
        <f t="shared" si="6"/>
        <v/>
      </c>
      <c r="T44" s="128"/>
      <c r="U44" s="129"/>
      <c r="V44" s="130"/>
      <c r="W44" s="136" t="str">
        <f t="shared" si="7"/>
        <v/>
      </c>
      <c r="X44" s="133" t="str">
        <f t="shared" si="8"/>
        <v/>
      </c>
      <c r="Y44" s="134" t="str">
        <f t="shared" si="9"/>
        <v/>
      </c>
      <c r="Z44" s="137" t="str">
        <f t="shared" si="10"/>
        <v/>
      </c>
      <c r="AA44" s="138" t="str">
        <f t="shared" si="11"/>
        <v/>
      </c>
      <c r="AB44" s="139" t="str">
        <f t="shared" si="12"/>
        <v/>
      </c>
      <c r="AC44" s="140" t="str">
        <f t="array" ref="AC44">IF(AB44="","",IFERROR(INDEX(HELPER!$D$8:$D$48,IF(AB44&gt;=HELPER!$B$8,1,MATCH(AB44,HELPER!$B$8:$B$48,-1)+1)),""))</f>
        <v/>
      </c>
      <c r="AD44" s="141" t="str">
        <f>IF(AC44="","",IFERROR(VLOOKUP(AC44,HELPER!$F$8:$G$48,2,FALSE),""))</f>
        <v/>
      </c>
      <c r="AE44" s="6"/>
      <c r="AF44" s="12"/>
    </row>
    <row r="45" ht="15.0" customHeight="1">
      <c r="A45" s="6"/>
      <c r="B45" s="168">
        <v>28.0</v>
      </c>
      <c r="C45" s="145" t="str">
        <f>IF('INPUT DATA'!K38="","",'INPUT DATA'!K38)</f>
        <v/>
      </c>
      <c r="D45" s="107"/>
      <c r="E45" s="108"/>
      <c r="F45" s="128"/>
      <c r="G45" s="129"/>
      <c r="H45" s="129"/>
      <c r="I45" s="129"/>
      <c r="J45" s="130"/>
      <c r="K45" s="132" t="str">
        <f t="shared" si="1"/>
        <v/>
      </c>
      <c r="L45" s="135" t="str">
        <f t="shared" si="2"/>
        <v/>
      </c>
      <c r="M45" s="134" t="str">
        <f t="shared" si="3"/>
        <v/>
      </c>
      <c r="N45" s="128"/>
      <c r="O45" s="129"/>
      <c r="P45" s="130"/>
      <c r="Q45" s="132" t="str">
        <f t="shared" si="4"/>
        <v/>
      </c>
      <c r="R45" s="133" t="str">
        <f t="shared" si="5"/>
        <v/>
      </c>
      <c r="S45" s="134" t="str">
        <f t="shared" si="6"/>
        <v/>
      </c>
      <c r="T45" s="128"/>
      <c r="U45" s="129"/>
      <c r="V45" s="130"/>
      <c r="W45" s="136" t="str">
        <f t="shared" si="7"/>
        <v/>
      </c>
      <c r="X45" s="133" t="str">
        <f t="shared" si="8"/>
        <v/>
      </c>
      <c r="Y45" s="134" t="str">
        <f t="shared" si="9"/>
        <v/>
      </c>
      <c r="Z45" s="137" t="str">
        <f t="shared" si="10"/>
        <v/>
      </c>
      <c r="AA45" s="138" t="str">
        <f t="shared" si="11"/>
        <v/>
      </c>
      <c r="AB45" s="139" t="str">
        <f t="shared" si="12"/>
        <v/>
      </c>
      <c r="AC45" s="140" t="str">
        <f t="array" ref="AC45">IF(AB45="","",IFERROR(INDEX(HELPER!$D$8:$D$48,IF(AB45&gt;=HELPER!$B$8,1,MATCH(AB45,HELPER!$B$8:$B$48,-1)+1)),""))</f>
        <v/>
      </c>
      <c r="AD45" s="141" t="str">
        <f>IF(AC45="","",IFERROR(VLOOKUP(AC45,HELPER!$F$8:$G$48,2,FALSE),""))</f>
        <v/>
      </c>
      <c r="AE45" s="6"/>
      <c r="AF45" s="12"/>
    </row>
    <row r="46" ht="15.0" customHeight="1">
      <c r="A46" s="6"/>
      <c r="B46" s="168">
        <v>29.0</v>
      </c>
      <c r="C46" s="145" t="str">
        <f>IF('INPUT DATA'!K39="","",'INPUT DATA'!K39)</f>
        <v/>
      </c>
      <c r="D46" s="107"/>
      <c r="E46" s="108"/>
      <c r="F46" s="128"/>
      <c r="G46" s="129"/>
      <c r="H46" s="129"/>
      <c r="I46" s="129"/>
      <c r="J46" s="130"/>
      <c r="K46" s="132" t="str">
        <f t="shared" si="1"/>
        <v/>
      </c>
      <c r="L46" s="135" t="str">
        <f t="shared" si="2"/>
        <v/>
      </c>
      <c r="M46" s="134" t="str">
        <f t="shared" si="3"/>
        <v/>
      </c>
      <c r="N46" s="128"/>
      <c r="O46" s="129"/>
      <c r="P46" s="130"/>
      <c r="Q46" s="132" t="str">
        <f t="shared" si="4"/>
        <v/>
      </c>
      <c r="R46" s="133" t="str">
        <f t="shared" si="5"/>
        <v/>
      </c>
      <c r="S46" s="134" t="str">
        <f t="shared" si="6"/>
        <v/>
      </c>
      <c r="T46" s="128"/>
      <c r="U46" s="129"/>
      <c r="V46" s="130"/>
      <c r="W46" s="136" t="str">
        <f t="shared" si="7"/>
        <v/>
      </c>
      <c r="X46" s="133" t="str">
        <f t="shared" si="8"/>
        <v/>
      </c>
      <c r="Y46" s="134" t="str">
        <f t="shared" si="9"/>
        <v/>
      </c>
      <c r="Z46" s="137" t="str">
        <f t="shared" si="10"/>
        <v/>
      </c>
      <c r="AA46" s="138" t="str">
        <f t="shared" si="11"/>
        <v/>
      </c>
      <c r="AB46" s="139" t="str">
        <f t="shared" si="12"/>
        <v/>
      </c>
      <c r="AC46" s="140" t="str">
        <f t="array" ref="AC46">IF(AB46="","",IFERROR(INDEX(HELPER!$D$8:$D$48,IF(AB46&gt;=HELPER!$B$8,1,MATCH(AB46,HELPER!$B$8:$B$48,-1)+1)),""))</f>
        <v/>
      </c>
      <c r="AD46" s="141" t="str">
        <f>IF(AC46="","",IFERROR(VLOOKUP(AC46,HELPER!$F$8:$G$48,2,FALSE),""))</f>
        <v/>
      </c>
      <c r="AE46" s="6"/>
      <c r="AF46" s="12"/>
    </row>
    <row r="47" ht="15.0" customHeight="1">
      <c r="A47" s="6"/>
      <c r="B47" s="168">
        <v>30.0</v>
      </c>
      <c r="C47" s="145" t="str">
        <f>IF('INPUT DATA'!K40="","",'INPUT DATA'!K40)</f>
        <v/>
      </c>
      <c r="D47" s="107"/>
      <c r="E47" s="108"/>
      <c r="F47" s="128"/>
      <c r="G47" s="129"/>
      <c r="H47" s="129"/>
      <c r="I47" s="129"/>
      <c r="J47" s="130"/>
      <c r="K47" s="132" t="str">
        <f t="shared" si="1"/>
        <v/>
      </c>
      <c r="L47" s="135" t="str">
        <f t="shared" si="2"/>
        <v/>
      </c>
      <c r="M47" s="134" t="str">
        <f t="shared" si="3"/>
        <v/>
      </c>
      <c r="N47" s="128"/>
      <c r="O47" s="129"/>
      <c r="P47" s="130"/>
      <c r="Q47" s="132" t="str">
        <f t="shared" si="4"/>
        <v/>
      </c>
      <c r="R47" s="133" t="str">
        <f t="shared" si="5"/>
        <v/>
      </c>
      <c r="S47" s="134" t="str">
        <f t="shared" si="6"/>
        <v/>
      </c>
      <c r="T47" s="128"/>
      <c r="U47" s="129"/>
      <c r="V47" s="130"/>
      <c r="W47" s="136" t="str">
        <f t="shared" si="7"/>
        <v/>
      </c>
      <c r="X47" s="133" t="str">
        <f t="shared" si="8"/>
        <v/>
      </c>
      <c r="Y47" s="134" t="str">
        <f t="shared" si="9"/>
        <v/>
      </c>
      <c r="Z47" s="137" t="str">
        <f t="shared" si="10"/>
        <v/>
      </c>
      <c r="AA47" s="138" t="str">
        <f t="shared" si="11"/>
        <v/>
      </c>
      <c r="AB47" s="139" t="str">
        <f t="shared" si="12"/>
        <v/>
      </c>
      <c r="AC47" s="140" t="str">
        <f t="array" ref="AC47">IF(AB47="","",IFERROR(INDEX(HELPER!$D$8:$D$48,IF(AB47&gt;=HELPER!$B$8,1,MATCH(AB47,HELPER!$B$8:$B$48,-1)+1)),""))</f>
        <v/>
      </c>
      <c r="AD47" s="141" t="str">
        <f>IF(AC47="","",IFERROR(VLOOKUP(AC47,HELPER!$F$8:$G$48,2,FALSE),""))</f>
        <v/>
      </c>
      <c r="AE47" s="6"/>
      <c r="AF47" s="12"/>
    </row>
    <row r="48" ht="15.0" customHeight="1">
      <c r="A48" s="6"/>
      <c r="B48" s="168">
        <v>31.0</v>
      </c>
      <c r="C48" s="145" t="str">
        <f>IF('INPUT DATA'!K41="","",'INPUT DATA'!K41)</f>
        <v/>
      </c>
      <c r="D48" s="107"/>
      <c r="E48" s="108"/>
      <c r="F48" s="128"/>
      <c r="G48" s="129"/>
      <c r="H48" s="129"/>
      <c r="I48" s="129"/>
      <c r="J48" s="130"/>
      <c r="K48" s="132" t="str">
        <f t="shared" si="1"/>
        <v/>
      </c>
      <c r="L48" s="135" t="str">
        <f t="shared" si="2"/>
        <v/>
      </c>
      <c r="M48" s="134" t="str">
        <f t="shared" si="3"/>
        <v/>
      </c>
      <c r="N48" s="128"/>
      <c r="O48" s="129"/>
      <c r="P48" s="130"/>
      <c r="Q48" s="132" t="str">
        <f t="shared" si="4"/>
        <v/>
      </c>
      <c r="R48" s="133" t="str">
        <f t="shared" si="5"/>
        <v/>
      </c>
      <c r="S48" s="134" t="str">
        <f t="shared" si="6"/>
        <v/>
      </c>
      <c r="T48" s="128"/>
      <c r="U48" s="129"/>
      <c r="V48" s="130"/>
      <c r="W48" s="136" t="str">
        <f t="shared" si="7"/>
        <v/>
      </c>
      <c r="X48" s="133" t="str">
        <f t="shared" si="8"/>
        <v/>
      </c>
      <c r="Y48" s="134" t="str">
        <f t="shared" si="9"/>
        <v/>
      </c>
      <c r="Z48" s="137" t="str">
        <f t="shared" si="10"/>
        <v/>
      </c>
      <c r="AA48" s="138" t="str">
        <f t="shared" si="11"/>
        <v/>
      </c>
      <c r="AB48" s="139" t="str">
        <f t="shared" si="12"/>
        <v/>
      </c>
      <c r="AC48" s="140" t="str">
        <f t="array" ref="AC48">IF(AB48="","",IFERROR(INDEX(HELPER!$D$8:$D$48,IF(AB48&gt;=HELPER!$B$8,1,MATCH(AB48,HELPER!$B$8:$B$48,-1)+1)),""))</f>
        <v/>
      </c>
      <c r="AD48" s="141" t="str">
        <f>IF(AC48="","",IFERROR(VLOOKUP(AC48,HELPER!$F$8:$G$48,2,FALSE),""))</f>
        <v/>
      </c>
      <c r="AE48" s="6"/>
      <c r="AF48" s="12"/>
    </row>
    <row r="49" ht="15.0" customHeight="1">
      <c r="A49" s="6"/>
      <c r="B49" s="168">
        <v>32.0</v>
      </c>
      <c r="C49" s="145" t="str">
        <f>IF('INPUT DATA'!K42="","",'INPUT DATA'!K42)</f>
        <v/>
      </c>
      <c r="D49" s="107"/>
      <c r="E49" s="108"/>
      <c r="F49" s="128"/>
      <c r="G49" s="129"/>
      <c r="H49" s="129"/>
      <c r="I49" s="129"/>
      <c r="J49" s="130"/>
      <c r="K49" s="132" t="str">
        <f t="shared" si="1"/>
        <v/>
      </c>
      <c r="L49" s="135" t="str">
        <f t="shared" si="2"/>
        <v/>
      </c>
      <c r="M49" s="134" t="str">
        <f t="shared" si="3"/>
        <v/>
      </c>
      <c r="N49" s="128"/>
      <c r="O49" s="129"/>
      <c r="P49" s="130"/>
      <c r="Q49" s="132" t="str">
        <f t="shared" si="4"/>
        <v/>
      </c>
      <c r="R49" s="133" t="str">
        <f t="shared" si="5"/>
        <v/>
      </c>
      <c r="S49" s="134" t="str">
        <f t="shared" si="6"/>
        <v/>
      </c>
      <c r="T49" s="128"/>
      <c r="U49" s="129"/>
      <c r="V49" s="130"/>
      <c r="W49" s="136" t="str">
        <f t="shared" si="7"/>
        <v/>
      </c>
      <c r="X49" s="133" t="str">
        <f t="shared" si="8"/>
        <v/>
      </c>
      <c r="Y49" s="134" t="str">
        <f t="shared" si="9"/>
        <v/>
      </c>
      <c r="Z49" s="137" t="str">
        <f t="shared" si="10"/>
        <v/>
      </c>
      <c r="AA49" s="138" t="str">
        <f t="shared" si="11"/>
        <v/>
      </c>
      <c r="AB49" s="139" t="str">
        <f t="shared" si="12"/>
        <v/>
      </c>
      <c r="AC49" s="140" t="str">
        <f t="array" ref="AC49">IF(AB49="","",IFERROR(INDEX(HELPER!$D$8:$D$48,IF(AB49&gt;=HELPER!$B$8,1,MATCH(AB49,HELPER!$B$8:$B$48,-1)+1)),""))</f>
        <v/>
      </c>
      <c r="AD49" s="141" t="str">
        <f>IF(AC49="","",IFERROR(VLOOKUP(AC49,HELPER!$F$8:$G$48,2,FALSE),""))</f>
        <v/>
      </c>
      <c r="AE49" s="6"/>
      <c r="AF49" s="12"/>
    </row>
    <row r="50" ht="15.0" customHeight="1">
      <c r="A50" s="6"/>
      <c r="B50" s="168">
        <v>33.0</v>
      </c>
      <c r="C50" s="145" t="str">
        <f>IF('INPUT DATA'!K43="","",'INPUT DATA'!K43)</f>
        <v/>
      </c>
      <c r="D50" s="107"/>
      <c r="E50" s="108"/>
      <c r="F50" s="128"/>
      <c r="G50" s="129"/>
      <c r="H50" s="129"/>
      <c r="I50" s="129"/>
      <c r="J50" s="130"/>
      <c r="K50" s="132" t="str">
        <f t="shared" si="1"/>
        <v/>
      </c>
      <c r="L50" s="135" t="str">
        <f t="shared" si="2"/>
        <v/>
      </c>
      <c r="M50" s="134" t="str">
        <f t="shared" si="3"/>
        <v/>
      </c>
      <c r="N50" s="128"/>
      <c r="O50" s="129"/>
      <c r="P50" s="130"/>
      <c r="Q50" s="132" t="str">
        <f t="shared" si="4"/>
        <v/>
      </c>
      <c r="R50" s="133" t="str">
        <f t="shared" si="5"/>
        <v/>
      </c>
      <c r="S50" s="134" t="str">
        <f t="shared" si="6"/>
        <v/>
      </c>
      <c r="T50" s="128"/>
      <c r="U50" s="129"/>
      <c r="V50" s="130"/>
      <c r="W50" s="136" t="str">
        <f t="shared" si="7"/>
        <v/>
      </c>
      <c r="X50" s="133" t="str">
        <f t="shared" si="8"/>
        <v/>
      </c>
      <c r="Y50" s="134" t="str">
        <f t="shared" si="9"/>
        <v/>
      </c>
      <c r="Z50" s="137" t="str">
        <f t="shared" si="10"/>
        <v/>
      </c>
      <c r="AA50" s="138" t="str">
        <f t="shared" si="11"/>
        <v/>
      </c>
      <c r="AB50" s="139" t="str">
        <f t="shared" si="12"/>
        <v/>
      </c>
      <c r="AC50" s="140" t="str">
        <f t="array" ref="AC50">IF(AB50="","",IFERROR(INDEX(HELPER!$D$8:$D$48,IF(AB50&gt;=HELPER!$B$8,1,MATCH(AB50,HELPER!$B$8:$B$48,-1)+1)),""))</f>
        <v/>
      </c>
      <c r="AD50" s="141" t="str">
        <f>IF(AC50="","",IFERROR(VLOOKUP(AC50,HELPER!$F$8:$G$48,2,FALSE),""))</f>
        <v/>
      </c>
      <c r="AE50" s="6"/>
      <c r="AF50" s="12"/>
    </row>
    <row r="51" ht="15.0" customHeight="1">
      <c r="A51" s="6"/>
      <c r="B51" s="168">
        <v>34.0</v>
      </c>
      <c r="C51" s="145" t="str">
        <f>IF('INPUT DATA'!K44="","",'INPUT DATA'!K44)</f>
        <v/>
      </c>
      <c r="D51" s="107"/>
      <c r="E51" s="108"/>
      <c r="F51" s="128"/>
      <c r="G51" s="129"/>
      <c r="H51" s="129"/>
      <c r="I51" s="129"/>
      <c r="J51" s="130"/>
      <c r="K51" s="132" t="str">
        <f t="shared" si="1"/>
        <v/>
      </c>
      <c r="L51" s="135" t="str">
        <f t="shared" si="2"/>
        <v/>
      </c>
      <c r="M51" s="134" t="str">
        <f t="shared" si="3"/>
        <v/>
      </c>
      <c r="N51" s="128"/>
      <c r="O51" s="129"/>
      <c r="P51" s="130"/>
      <c r="Q51" s="132" t="str">
        <f t="shared" si="4"/>
        <v/>
      </c>
      <c r="R51" s="133" t="str">
        <f t="shared" si="5"/>
        <v/>
      </c>
      <c r="S51" s="134" t="str">
        <f t="shared" si="6"/>
        <v/>
      </c>
      <c r="T51" s="128"/>
      <c r="U51" s="129"/>
      <c r="V51" s="130"/>
      <c r="W51" s="136" t="str">
        <f t="shared" si="7"/>
        <v/>
      </c>
      <c r="X51" s="133" t="str">
        <f t="shared" si="8"/>
        <v/>
      </c>
      <c r="Y51" s="134" t="str">
        <f t="shared" si="9"/>
        <v/>
      </c>
      <c r="Z51" s="137" t="str">
        <f t="shared" si="10"/>
        <v/>
      </c>
      <c r="AA51" s="138" t="str">
        <f t="shared" si="11"/>
        <v/>
      </c>
      <c r="AB51" s="139" t="str">
        <f t="shared" si="12"/>
        <v/>
      </c>
      <c r="AC51" s="140" t="str">
        <f t="array" ref="AC51">IF(AB51="","",IFERROR(INDEX(HELPER!$D$8:$D$48,IF(AB51&gt;=HELPER!$B$8,1,MATCH(AB51,HELPER!$B$8:$B$48,-1)+1)),""))</f>
        <v/>
      </c>
      <c r="AD51" s="141" t="str">
        <f>IF(AC51="","",IFERROR(VLOOKUP(AC51,HELPER!$F$8:$G$48,2,FALSE),""))</f>
        <v/>
      </c>
      <c r="AE51" s="6"/>
      <c r="AF51" s="12"/>
    </row>
    <row r="52" ht="15.0" customHeight="1">
      <c r="A52" s="6"/>
      <c r="B52" s="168">
        <v>35.0</v>
      </c>
      <c r="C52" s="145" t="str">
        <f>IF('INPUT DATA'!K45="","",'INPUT DATA'!K45)</f>
        <v/>
      </c>
      <c r="D52" s="107"/>
      <c r="E52" s="108"/>
      <c r="F52" s="128"/>
      <c r="G52" s="129"/>
      <c r="H52" s="129"/>
      <c r="I52" s="129"/>
      <c r="J52" s="130"/>
      <c r="K52" s="132" t="str">
        <f t="shared" si="1"/>
        <v/>
      </c>
      <c r="L52" s="135" t="str">
        <f t="shared" si="2"/>
        <v/>
      </c>
      <c r="M52" s="134" t="str">
        <f t="shared" si="3"/>
        <v/>
      </c>
      <c r="N52" s="128"/>
      <c r="O52" s="129"/>
      <c r="P52" s="130"/>
      <c r="Q52" s="132" t="str">
        <f t="shared" si="4"/>
        <v/>
      </c>
      <c r="R52" s="133" t="str">
        <f t="shared" si="5"/>
        <v/>
      </c>
      <c r="S52" s="134" t="str">
        <f t="shared" si="6"/>
        <v/>
      </c>
      <c r="T52" s="128"/>
      <c r="U52" s="129"/>
      <c r="V52" s="130"/>
      <c r="W52" s="136" t="str">
        <f t="shared" si="7"/>
        <v/>
      </c>
      <c r="X52" s="133" t="str">
        <f t="shared" si="8"/>
        <v/>
      </c>
      <c r="Y52" s="134" t="str">
        <f t="shared" si="9"/>
        <v/>
      </c>
      <c r="Z52" s="137" t="str">
        <f t="shared" si="10"/>
        <v/>
      </c>
      <c r="AA52" s="138" t="str">
        <f t="shared" si="11"/>
        <v/>
      </c>
      <c r="AB52" s="139" t="str">
        <f t="shared" si="12"/>
        <v/>
      </c>
      <c r="AC52" s="140" t="str">
        <f t="array" ref="AC52">IF(AB52="","",IFERROR(INDEX(HELPER!$D$8:$D$48,IF(AB52&gt;=HELPER!$B$8,1,MATCH(AB52,HELPER!$B$8:$B$48,-1)+1)),""))</f>
        <v/>
      </c>
      <c r="AD52" s="141" t="str">
        <f>IF(AC52="","",IFERROR(VLOOKUP(AC52,HELPER!$F$8:$G$48,2,FALSE),""))</f>
        <v/>
      </c>
      <c r="AE52" s="6"/>
      <c r="AF52" s="12"/>
    </row>
    <row r="53" ht="15.0" customHeight="1">
      <c r="A53" s="6"/>
      <c r="B53" s="168">
        <v>36.0</v>
      </c>
      <c r="C53" s="145" t="str">
        <f>IF('INPUT DATA'!K46="","",'INPUT DATA'!K46)</f>
        <v/>
      </c>
      <c r="D53" s="107"/>
      <c r="E53" s="108"/>
      <c r="F53" s="128"/>
      <c r="G53" s="129"/>
      <c r="H53" s="129"/>
      <c r="I53" s="129"/>
      <c r="J53" s="130"/>
      <c r="K53" s="132" t="str">
        <f t="shared" si="1"/>
        <v/>
      </c>
      <c r="L53" s="135" t="str">
        <f t="shared" si="2"/>
        <v/>
      </c>
      <c r="M53" s="134" t="str">
        <f t="shared" si="3"/>
        <v/>
      </c>
      <c r="N53" s="128"/>
      <c r="O53" s="129"/>
      <c r="P53" s="130"/>
      <c r="Q53" s="132" t="str">
        <f t="shared" si="4"/>
        <v/>
      </c>
      <c r="R53" s="133" t="str">
        <f t="shared" si="5"/>
        <v/>
      </c>
      <c r="S53" s="134" t="str">
        <f t="shared" si="6"/>
        <v/>
      </c>
      <c r="T53" s="128"/>
      <c r="U53" s="129"/>
      <c r="V53" s="130"/>
      <c r="W53" s="136" t="str">
        <f t="shared" si="7"/>
        <v/>
      </c>
      <c r="X53" s="133" t="str">
        <f t="shared" si="8"/>
        <v/>
      </c>
      <c r="Y53" s="134" t="str">
        <f t="shared" si="9"/>
        <v/>
      </c>
      <c r="Z53" s="137" t="str">
        <f t="shared" si="10"/>
        <v/>
      </c>
      <c r="AA53" s="138" t="str">
        <f t="shared" si="11"/>
        <v/>
      </c>
      <c r="AB53" s="139" t="str">
        <f t="shared" si="12"/>
        <v/>
      </c>
      <c r="AC53" s="140" t="str">
        <f t="array" ref="AC53">IF(AB53="","",IFERROR(INDEX(HELPER!$D$8:$D$48,IF(AB53&gt;=HELPER!$B$8,1,MATCH(AB53,HELPER!$B$8:$B$48,-1)+1)),""))</f>
        <v/>
      </c>
      <c r="AD53" s="141" t="str">
        <f>IF(AC53="","",IFERROR(VLOOKUP(AC53,HELPER!$F$8:$G$48,2,FALSE),""))</f>
        <v/>
      </c>
      <c r="AE53" s="6"/>
      <c r="AF53" s="12"/>
    </row>
    <row r="54" ht="15.0" customHeight="1">
      <c r="A54" s="6"/>
      <c r="B54" s="168">
        <v>37.0</v>
      </c>
      <c r="C54" s="145" t="str">
        <f>IF('INPUT DATA'!K47="","",'INPUT DATA'!K47)</f>
        <v/>
      </c>
      <c r="D54" s="107"/>
      <c r="E54" s="108"/>
      <c r="F54" s="128"/>
      <c r="G54" s="129"/>
      <c r="H54" s="129"/>
      <c r="I54" s="129"/>
      <c r="J54" s="130"/>
      <c r="K54" s="132" t="str">
        <f t="shared" si="1"/>
        <v/>
      </c>
      <c r="L54" s="135" t="str">
        <f t="shared" si="2"/>
        <v/>
      </c>
      <c r="M54" s="134" t="str">
        <f t="shared" si="3"/>
        <v/>
      </c>
      <c r="N54" s="128"/>
      <c r="O54" s="129"/>
      <c r="P54" s="130"/>
      <c r="Q54" s="132" t="str">
        <f t="shared" si="4"/>
        <v/>
      </c>
      <c r="R54" s="133" t="str">
        <f t="shared" si="5"/>
        <v/>
      </c>
      <c r="S54" s="134" t="str">
        <f t="shared" si="6"/>
        <v/>
      </c>
      <c r="T54" s="128"/>
      <c r="U54" s="129"/>
      <c r="V54" s="130"/>
      <c r="W54" s="136" t="str">
        <f t="shared" si="7"/>
        <v/>
      </c>
      <c r="X54" s="133" t="str">
        <f t="shared" si="8"/>
        <v/>
      </c>
      <c r="Y54" s="134" t="str">
        <f t="shared" si="9"/>
        <v/>
      </c>
      <c r="Z54" s="137" t="str">
        <f t="shared" si="10"/>
        <v/>
      </c>
      <c r="AA54" s="138" t="str">
        <f t="shared" si="11"/>
        <v/>
      </c>
      <c r="AB54" s="139" t="str">
        <f t="shared" si="12"/>
        <v/>
      </c>
      <c r="AC54" s="140" t="str">
        <f t="array" ref="AC54">IF(AB54="","",IFERROR(INDEX(HELPER!$D$8:$D$48,IF(AB54&gt;=HELPER!$B$8,1,MATCH(AB54,HELPER!$B$8:$B$48,-1)+1)),""))</f>
        <v/>
      </c>
      <c r="AD54" s="141" t="str">
        <f>IF(AC54="","",IFERROR(VLOOKUP(AC54,HELPER!$F$8:$G$48,2,FALSE),""))</f>
        <v/>
      </c>
      <c r="AE54" s="6"/>
      <c r="AF54" s="12"/>
    </row>
    <row r="55" ht="15.0" customHeight="1">
      <c r="A55" s="6"/>
      <c r="B55" s="168">
        <v>38.0</v>
      </c>
      <c r="C55" s="145" t="str">
        <f>IF('INPUT DATA'!K48="","",'INPUT DATA'!K48)</f>
        <v/>
      </c>
      <c r="D55" s="107"/>
      <c r="E55" s="108"/>
      <c r="F55" s="128"/>
      <c r="G55" s="129"/>
      <c r="H55" s="129"/>
      <c r="I55" s="129"/>
      <c r="J55" s="130"/>
      <c r="K55" s="132" t="str">
        <f t="shared" si="1"/>
        <v/>
      </c>
      <c r="L55" s="135" t="str">
        <f t="shared" si="2"/>
        <v/>
      </c>
      <c r="M55" s="134" t="str">
        <f t="shared" si="3"/>
        <v/>
      </c>
      <c r="N55" s="128"/>
      <c r="O55" s="129"/>
      <c r="P55" s="130"/>
      <c r="Q55" s="132" t="str">
        <f t="shared" si="4"/>
        <v/>
      </c>
      <c r="R55" s="133" t="str">
        <f t="shared" si="5"/>
        <v/>
      </c>
      <c r="S55" s="134" t="str">
        <f t="shared" si="6"/>
        <v/>
      </c>
      <c r="T55" s="128"/>
      <c r="U55" s="129"/>
      <c r="V55" s="130"/>
      <c r="W55" s="136" t="str">
        <f t="shared" si="7"/>
        <v/>
      </c>
      <c r="X55" s="133" t="str">
        <f t="shared" si="8"/>
        <v/>
      </c>
      <c r="Y55" s="134" t="str">
        <f t="shared" si="9"/>
        <v/>
      </c>
      <c r="Z55" s="137" t="str">
        <f t="shared" si="10"/>
        <v/>
      </c>
      <c r="AA55" s="138" t="str">
        <f t="shared" si="11"/>
        <v/>
      </c>
      <c r="AB55" s="139" t="str">
        <f t="shared" si="12"/>
        <v/>
      </c>
      <c r="AC55" s="140" t="str">
        <f t="array" ref="AC55">IF(AB55="","",IFERROR(INDEX(HELPER!$D$8:$D$48,IF(AB55&gt;=HELPER!$B$8,1,MATCH(AB55,HELPER!$B$8:$B$48,-1)+1)),""))</f>
        <v/>
      </c>
      <c r="AD55" s="141" t="str">
        <f>IF(AC55="","",IFERROR(VLOOKUP(AC55,HELPER!$F$8:$G$48,2,FALSE),""))</f>
        <v/>
      </c>
      <c r="AE55" s="6"/>
      <c r="AF55" s="12"/>
    </row>
    <row r="56" ht="15.0" customHeight="1">
      <c r="A56" s="6"/>
      <c r="B56" s="168">
        <v>39.0</v>
      </c>
      <c r="C56" s="145" t="str">
        <f>IF('INPUT DATA'!K49="","",'INPUT DATA'!K49)</f>
        <v/>
      </c>
      <c r="D56" s="107"/>
      <c r="E56" s="108"/>
      <c r="F56" s="128"/>
      <c r="G56" s="129"/>
      <c r="H56" s="129"/>
      <c r="I56" s="129"/>
      <c r="J56" s="130"/>
      <c r="K56" s="132" t="str">
        <f t="shared" si="1"/>
        <v/>
      </c>
      <c r="L56" s="135" t="str">
        <f t="shared" si="2"/>
        <v/>
      </c>
      <c r="M56" s="134" t="str">
        <f t="shared" si="3"/>
        <v/>
      </c>
      <c r="N56" s="128"/>
      <c r="O56" s="129"/>
      <c r="P56" s="130"/>
      <c r="Q56" s="132" t="str">
        <f t="shared" si="4"/>
        <v/>
      </c>
      <c r="R56" s="133" t="str">
        <f t="shared" si="5"/>
        <v/>
      </c>
      <c r="S56" s="134" t="str">
        <f t="shared" si="6"/>
        <v/>
      </c>
      <c r="T56" s="128"/>
      <c r="U56" s="129"/>
      <c r="V56" s="130"/>
      <c r="W56" s="136" t="str">
        <f t="shared" si="7"/>
        <v/>
      </c>
      <c r="X56" s="133" t="str">
        <f t="shared" si="8"/>
        <v/>
      </c>
      <c r="Y56" s="134" t="str">
        <f t="shared" si="9"/>
        <v/>
      </c>
      <c r="Z56" s="137" t="str">
        <f t="shared" si="10"/>
        <v/>
      </c>
      <c r="AA56" s="138" t="str">
        <f t="shared" si="11"/>
        <v/>
      </c>
      <c r="AB56" s="139" t="str">
        <f t="shared" si="12"/>
        <v/>
      </c>
      <c r="AC56" s="140" t="str">
        <f t="array" ref="AC56">IF(AB56="","",IFERROR(INDEX(HELPER!$D$8:$D$48,IF(AB56&gt;=HELPER!$B$8,1,MATCH(AB56,HELPER!$B$8:$B$48,-1)+1)),""))</f>
        <v/>
      </c>
      <c r="AD56" s="141" t="str">
        <f>IF(AC56="","",IFERROR(VLOOKUP(AC56,HELPER!$F$8:$G$48,2,FALSE),""))</f>
        <v/>
      </c>
      <c r="AE56" s="6"/>
      <c r="AF56" s="12"/>
    </row>
    <row r="57" ht="15.0" customHeight="1">
      <c r="A57" s="6"/>
      <c r="B57" s="168">
        <v>40.0</v>
      </c>
      <c r="C57" s="145" t="str">
        <f>IF('INPUT DATA'!K50="","",'INPUT DATA'!K50)</f>
        <v/>
      </c>
      <c r="D57" s="107"/>
      <c r="E57" s="108"/>
      <c r="F57" s="128"/>
      <c r="G57" s="129"/>
      <c r="H57" s="129"/>
      <c r="I57" s="129"/>
      <c r="J57" s="130"/>
      <c r="K57" s="132" t="str">
        <f t="shared" si="1"/>
        <v/>
      </c>
      <c r="L57" s="135" t="str">
        <f t="shared" si="2"/>
        <v/>
      </c>
      <c r="M57" s="134" t="str">
        <f t="shared" si="3"/>
        <v/>
      </c>
      <c r="N57" s="128"/>
      <c r="O57" s="129"/>
      <c r="P57" s="130"/>
      <c r="Q57" s="132" t="str">
        <f t="shared" si="4"/>
        <v/>
      </c>
      <c r="R57" s="133" t="str">
        <f t="shared" si="5"/>
        <v/>
      </c>
      <c r="S57" s="134" t="str">
        <f t="shared" si="6"/>
        <v/>
      </c>
      <c r="T57" s="128"/>
      <c r="U57" s="129"/>
      <c r="V57" s="130"/>
      <c r="W57" s="136" t="str">
        <f t="shared" si="7"/>
        <v/>
      </c>
      <c r="X57" s="133" t="str">
        <f t="shared" si="8"/>
        <v/>
      </c>
      <c r="Y57" s="134" t="str">
        <f t="shared" si="9"/>
        <v/>
      </c>
      <c r="Z57" s="137" t="str">
        <f t="shared" si="10"/>
        <v/>
      </c>
      <c r="AA57" s="138" t="str">
        <f t="shared" si="11"/>
        <v/>
      </c>
      <c r="AB57" s="139" t="str">
        <f t="shared" si="12"/>
        <v/>
      </c>
      <c r="AC57" s="140" t="str">
        <f t="array" ref="AC57">IF(AB57="","",IFERROR(INDEX(HELPER!$D$8:$D$48,IF(AB57&gt;=HELPER!$B$8,1,MATCH(AB57,HELPER!$B$8:$B$48,-1)+1)),""))</f>
        <v/>
      </c>
      <c r="AD57" s="141" t="str">
        <f>IF(AC57="","",IFERROR(VLOOKUP(AC57,HELPER!$F$8:$G$48,2,FALSE),""))</f>
        <v/>
      </c>
      <c r="AE57" s="6"/>
      <c r="AF57" s="12"/>
    </row>
    <row r="58" ht="15.0" customHeight="1">
      <c r="A58" s="6"/>
      <c r="B58" s="168">
        <v>41.0</v>
      </c>
      <c r="C58" s="145" t="str">
        <f>IF('INPUT DATA'!K51="","",'INPUT DATA'!K51)</f>
        <v/>
      </c>
      <c r="D58" s="107"/>
      <c r="E58" s="108"/>
      <c r="F58" s="128"/>
      <c r="G58" s="129"/>
      <c r="H58" s="129"/>
      <c r="I58" s="129"/>
      <c r="J58" s="130"/>
      <c r="K58" s="132" t="str">
        <f t="shared" si="1"/>
        <v/>
      </c>
      <c r="L58" s="135" t="str">
        <f t="shared" si="2"/>
        <v/>
      </c>
      <c r="M58" s="134" t="str">
        <f t="shared" si="3"/>
        <v/>
      </c>
      <c r="N58" s="128"/>
      <c r="O58" s="129"/>
      <c r="P58" s="130"/>
      <c r="Q58" s="132" t="str">
        <f t="shared" si="4"/>
        <v/>
      </c>
      <c r="R58" s="133" t="str">
        <f t="shared" si="5"/>
        <v/>
      </c>
      <c r="S58" s="134" t="str">
        <f t="shared" si="6"/>
        <v/>
      </c>
      <c r="T58" s="128"/>
      <c r="U58" s="129"/>
      <c r="V58" s="130"/>
      <c r="W58" s="136" t="str">
        <f t="shared" si="7"/>
        <v/>
      </c>
      <c r="X58" s="133" t="str">
        <f t="shared" si="8"/>
        <v/>
      </c>
      <c r="Y58" s="134" t="str">
        <f t="shared" si="9"/>
        <v/>
      </c>
      <c r="Z58" s="137" t="str">
        <f t="shared" si="10"/>
        <v/>
      </c>
      <c r="AA58" s="138" t="str">
        <f t="shared" si="11"/>
        <v/>
      </c>
      <c r="AB58" s="139" t="str">
        <f t="shared" si="12"/>
        <v/>
      </c>
      <c r="AC58" s="140" t="str">
        <f t="array" ref="AC58">IF(AB58="","",IFERROR(INDEX(HELPER!$D$8:$D$48,IF(AB58&gt;=HELPER!$B$8,1,MATCH(AB58,HELPER!$B$8:$B$48,-1)+1)),""))</f>
        <v/>
      </c>
      <c r="AD58" s="141" t="str">
        <f>IF(AC58="","",IFERROR(VLOOKUP(AC58,HELPER!$F$8:$G$48,2,FALSE),""))</f>
        <v/>
      </c>
      <c r="AE58" s="6"/>
      <c r="AF58" s="12"/>
    </row>
    <row r="59" ht="15.0" customHeight="1">
      <c r="A59" s="6"/>
      <c r="B59" s="168">
        <v>42.0</v>
      </c>
      <c r="C59" s="145" t="str">
        <f>IF('INPUT DATA'!K52="","",'INPUT DATA'!K52)</f>
        <v/>
      </c>
      <c r="D59" s="107"/>
      <c r="E59" s="108"/>
      <c r="F59" s="128"/>
      <c r="G59" s="129"/>
      <c r="H59" s="129"/>
      <c r="I59" s="129"/>
      <c r="J59" s="130"/>
      <c r="K59" s="132" t="str">
        <f t="shared" si="1"/>
        <v/>
      </c>
      <c r="L59" s="135" t="str">
        <f t="shared" si="2"/>
        <v/>
      </c>
      <c r="M59" s="134" t="str">
        <f t="shared" si="3"/>
        <v/>
      </c>
      <c r="N59" s="128"/>
      <c r="O59" s="129"/>
      <c r="P59" s="130"/>
      <c r="Q59" s="132" t="str">
        <f t="shared" si="4"/>
        <v/>
      </c>
      <c r="R59" s="133" t="str">
        <f t="shared" si="5"/>
        <v/>
      </c>
      <c r="S59" s="134" t="str">
        <f t="shared" si="6"/>
        <v/>
      </c>
      <c r="T59" s="128"/>
      <c r="U59" s="129"/>
      <c r="V59" s="130"/>
      <c r="W59" s="136" t="str">
        <f t="shared" si="7"/>
        <v/>
      </c>
      <c r="X59" s="133" t="str">
        <f t="shared" si="8"/>
        <v/>
      </c>
      <c r="Y59" s="134" t="str">
        <f t="shared" si="9"/>
        <v/>
      </c>
      <c r="Z59" s="137" t="str">
        <f t="shared" si="10"/>
        <v/>
      </c>
      <c r="AA59" s="138" t="str">
        <f t="shared" si="11"/>
        <v/>
      </c>
      <c r="AB59" s="139" t="str">
        <f t="shared" si="12"/>
        <v/>
      </c>
      <c r="AC59" s="140" t="str">
        <f t="array" ref="AC59">IF(AB59="","",IFERROR(INDEX(HELPER!$D$8:$D$48,IF(AB59&gt;=HELPER!$B$8,1,MATCH(AB59,HELPER!$B$8:$B$48,-1)+1)),""))</f>
        <v/>
      </c>
      <c r="AD59" s="141" t="str">
        <f>IF(AC59="","",IFERROR(VLOOKUP(AC59,HELPER!$F$8:$G$48,2,FALSE),""))</f>
        <v/>
      </c>
      <c r="AE59" s="6"/>
      <c r="AF59" s="12"/>
    </row>
    <row r="60" ht="15.0" customHeight="1">
      <c r="A60" s="6"/>
      <c r="B60" s="168">
        <v>43.0</v>
      </c>
      <c r="C60" s="145" t="str">
        <f>IF('INPUT DATA'!K53="","",'INPUT DATA'!K53)</f>
        <v/>
      </c>
      <c r="D60" s="107"/>
      <c r="E60" s="108"/>
      <c r="F60" s="128"/>
      <c r="G60" s="129"/>
      <c r="H60" s="129"/>
      <c r="I60" s="129"/>
      <c r="J60" s="130"/>
      <c r="K60" s="132" t="str">
        <f t="shared" si="1"/>
        <v/>
      </c>
      <c r="L60" s="135" t="str">
        <f t="shared" si="2"/>
        <v/>
      </c>
      <c r="M60" s="134" t="str">
        <f t="shared" si="3"/>
        <v/>
      </c>
      <c r="N60" s="128"/>
      <c r="O60" s="129"/>
      <c r="P60" s="130"/>
      <c r="Q60" s="132" t="str">
        <f t="shared" si="4"/>
        <v/>
      </c>
      <c r="R60" s="133" t="str">
        <f t="shared" si="5"/>
        <v/>
      </c>
      <c r="S60" s="134" t="str">
        <f t="shared" si="6"/>
        <v/>
      </c>
      <c r="T60" s="128"/>
      <c r="U60" s="129"/>
      <c r="V60" s="130"/>
      <c r="W60" s="136" t="str">
        <f t="shared" si="7"/>
        <v/>
      </c>
      <c r="X60" s="133" t="str">
        <f t="shared" si="8"/>
        <v/>
      </c>
      <c r="Y60" s="134" t="str">
        <f t="shared" si="9"/>
        <v/>
      </c>
      <c r="Z60" s="137" t="str">
        <f t="shared" si="10"/>
        <v/>
      </c>
      <c r="AA60" s="138" t="str">
        <f t="shared" si="11"/>
        <v/>
      </c>
      <c r="AB60" s="139" t="str">
        <f t="shared" si="12"/>
        <v/>
      </c>
      <c r="AC60" s="140" t="str">
        <f t="array" ref="AC60">IF(AB60="","",IFERROR(INDEX(HELPER!$D$8:$D$48,IF(AB60&gt;=HELPER!$B$8,1,MATCH(AB60,HELPER!$B$8:$B$48,-1)+1)),""))</f>
        <v/>
      </c>
      <c r="AD60" s="141" t="str">
        <f>IF(AC60="","",IFERROR(VLOOKUP(AC60,HELPER!$F$8:$G$48,2,FALSE),""))</f>
        <v/>
      </c>
      <c r="AE60" s="6"/>
      <c r="AF60" s="12"/>
    </row>
    <row r="61" ht="15.0" customHeight="1">
      <c r="A61" s="6"/>
      <c r="B61" s="168">
        <v>44.0</v>
      </c>
      <c r="C61" s="145" t="str">
        <f>IF('INPUT DATA'!K54="","",'INPUT DATA'!K54)</f>
        <v/>
      </c>
      <c r="D61" s="107"/>
      <c r="E61" s="108"/>
      <c r="F61" s="128"/>
      <c r="G61" s="129"/>
      <c r="H61" s="129"/>
      <c r="I61" s="129"/>
      <c r="J61" s="130"/>
      <c r="K61" s="132" t="str">
        <f t="shared" si="1"/>
        <v/>
      </c>
      <c r="L61" s="135" t="str">
        <f t="shared" si="2"/>
        <v/>
      </c>
      <c r="M61" s="134" t="str">
        <f t="shared" si="3"/>
        <v/>
      </c>
      <c r="N61" s="128"/>
      <c r="O61" s="129"/>
      <c r="P61" s="130"/>
      <c r="Q61" s="132" t="str">
        <f t="shared" si="4"/>
        <v/>
      </c>
      <c r="R61" s="133" t="str">
        <f t="shared" si="5"/>
        <v/>
      </c>
      <c r="S61" s="134" t="str">
        <f t="shared" si="6"/>
        <v/>
      </c>
      <c r="T61" s="128"/>
      <c r="U61" s="129"/>
      <c r="V61" s="130"/>
      <c r="W61" s="136" t="str">
        <f t="shared" si="7"/>
        <v/>
      </c>
      <c r="X61" s="133" t="str">
        <f t="shared" si="8"/>
        <v/>
      </c>
      <c r="Y61" s="134" t="str">
        <f t="shared" si="9"/>
        <v/>
      </c>
      <c r="Z61" s="137" t="str">
        <f t="shared" si="10"/>
        <v/>
      </c>
      <c r="AA61" s="138" t="str">
        <f t="shared" si="11"/>
        <v/>
      </c>
      <c r="AB61" s="139" t="str">
        <f t="shared" si="12"/>
        <v/>
      </c>
      <c r="AC61" s="140" t="str">
        <f t="array" ref="AC61">IF(AB61="","",IFERROR(INDEX(HELPER!$D$8:$D$48,IF(AB61&gt;=HELPER!$B$8,1,MATCH(AB61,HELPER!$B$8:$B$48,-1)+1)),""))</f>
        <v/>
      </c>
      <c r="AD61" s="141" t="str">
        <f>IF(AC61="","",IFERROR(VLOOKUP(AC61,HELPER!$F$8:$G$48,2,FALSE),""))</f>
        <v/>
      </c>
      <c r="AE61" s="6"/>
      <c r="AF61" s="12"/>
    </row>
    <row r="62" ht="15.0" customHeight="1">
      <c r="A62" s="6"/>
      <c r="B62" s="168">
        <v>45.0</v>
      </c>
      <c r="C62" s="145" t="str">
        <f>IF('INPUT DATA'!K55="","",'INPUT DATA'!K55)</f>
        <v/>
      </c>
      <c r="D62" s="107"/>
      <c r="E62" s="108"/>
      <c r="F62" s="128"/>
      <c r="G62" s="129"/>
      <c r="H62" s="129"/>
      <c r="I62" s="129"/>
      <c r="J62" s="130"/>
      <c r="K62" s="132" t="str">
        <f t="shared" si="1"/>
        <v/>
      </c>
      <c r="L62" s="135" t="str">
        <f t="shared" si="2"/>
        <v/>
      </c>
      <c r="M62" s="134" t="str">
        <f t="shared" si="3"/>
        <v/>
      </c>
      <c r="N62" s="128"/>
      <c r="O62" s="129"/>
      <c r="P62" s="130"/>
      <c r="Q62" s="132" t="str">
        <f t="shared" si="4"/>
        <v/>
      </c>
      <c r="R62" s="133" t="str">
        <f t="shared" si="5"/>
        <v/>
      </c>
      <c r="S62" s="134" t="str">
        <f t="shared" si="6"/>
        <v/>
      </c>
      <c r="T62" s="128"/>
      <c r="U62" s="129"/>
      <c r="V62" s="130"/>
      <c r="W62" s="136" t="str">
        <f t="shared" si="7"/>
        <v/>
      </c>
      <c r="X62" s="133" t="str">
        <f t="shared" si="8"/>
        <v/>
      </c>
      <c r="Y62" s="134" t="str">
        <f t="shared" si="9"/>
        <v/>
      </c>
      <c r="Z62" s="137" t="str">
        <f t="shared" si="10"/>
        <v/>
      </c>
      <c r="AA62" s="138" t="str">
        <f t="shared" si="11"/>
        <v/>
      </c>
      <c r="AB62" s="139" t="str">
        <f t="shared" si="12"/>
        <v/>
      </c>
      <c r="AC62" s="140" t="str">
        <f t="array" ref="AC62">IF(AB62="","",IFERROR(INDEX(HELPER!$D$8:$D$48,IF(AB62&gt;=HELPER!$B$8,1,MATCH(AB62,HELPER!$B$8:$B$48,-1)+1)),""))</f>
        <v/>
      </c>
      <c r="AD62" s="141" t="str">
        <f>IF(AC62="","",IFERROR(VLOOKUP(AC62,HELPER!$F$8:$G$48,2,FALSE),""))</f>
        <v/>
      </c>
      <c r="AE62" s="6"/>
      <c r="AF62" s="12"/>
    </row>
    <row r="63" ht="15.0" customHeight="1">
      <c r="A63" s="6"/>
      <c r="B63" s="168">
        <v>46.0</v>
      </c>
      <c r="C63" s="145" t="str">
        <f>IF('INPUT DATA'!K56="","",'INPUT DATA'!K56)</f>
        <v/>
      </c>
      <c r="D63" s="107"/>
      <c r="E63" s="108"/>
      <c r="F63" s="128"/>
      <c r="G63" s="129"/>
      <c r="H63" s="129"/>
      <c r="I63" s="129"/>
      <c r="J63" s="130"/>
      <c r="K63" s="132" t="str">
        <f t="shared" si="1"/>
        <v/>
      </c>
      <c r="L63" s="135" t="str">
        <f t="shared" si="2"/>
        <v/>
      </c>
      <c r="M63" s="134" t="str">
        <f t="shared" si="3"/>
        <v/>
      </c>
      <c r="N63" s="128"/>
      <c r="O63" s="129"/>
      <c r="P63" s="130"/>
      <c r="Q63" s="132" t="str">
        <f t="shared" si="4"/>
        <v/>
      </c>
      <c r="R63" s="133" t="str">
        <f t="shared" si="5"/>
        <v/>
      </c>
      <c r="S63" s="134" t="str">
        <f t="shared" si="6"/>
        <v/>
      </c>
      <c r="T63" s="128"/>
      <c r="U63" s="129"/>
      <c r="V63" s="130"/>
      <c r="W63" s="136" t="str">
        <f t="shared" si="7"/>
        <v/>
      </c>
      <c r="X63" s="133" t="str">
        <f t="shared" si="8"/>
        <v/>
      </c>
      <c r="Y63" s="134" t="str">
        <f t="shared" si="9"/>
        <v/>
      </c>
      <c r="Z63" s="137" t="str">
        <f t="shared" si="10"/>
        <v/>
      </c>
      <c r="AA63" s="138" t="str">
        <f t="shared" si="11"/>
        <v/>
      </c>
      <c r="AB63" s="139" t="str">
        <f t="shared" si="12"/>
        <v/>
      </c>
      <c r="AC63" s="140" t="str">
        <f t="array" ref="AC63">IF(AB63="","",IFERROR(INDEX(HELPER!$D$8:$D$48,IF(AB63&gt;=HELPER!$B$8,1,MATCH(AB63,HELPER!$B$8:$B$48,-1)+1)),""))</f>
        <v/>
      </c>
      <c r="AD63" s="141" t="str">
        <f>IF(AC63="","",IFERROR(VLOOKUP(AC63,HELPER!$F$8:$G$48,2,FALSE),""))</f>
        <v/>
      </c>
      <c r="AE63" s="6"/>
      <c r="AF63" s="12"/>
    </row>
    <row r="64" ht="15.0" customHeight="1">
      <c r="A64" s="6"/>
      <c r="B64" s="168">
        <v>47.0</v>
      </c>
      <c r="C64" s="145" t="str">
        <f>IF('INPUT DATA'!K57="","",'INPUT DATA'!K57)</f>
        <v/>
      </c>
      <c r="D64" s="107"/>
      <c r="E64" s="108"/>
      <c r="F64" s="128"/>
      <c r="G64" s="129"/>
      <c r="H64" s="129"/>
      <c r="I64" s="129"/>
      <c r="J64" s="130"/>
      <c r="K64" s="132" t="str">
        <f t="shared" si="1"/>
        <v/>
      </c>
      <c r="L64" s="135" t="str">
        <f t="shared" si="2"/>
        <v/>
      </c>
      <c r="M64" s="134" t="str">
        <f t="shared" si="3"/>
        <v/>
      </c>
      <c r="N64" s="128"/>
      <c r="O64" s="129"/>
      <c r="P64" s="130"/>
      <c r="Q64" s="132" t="str">
        <f t="shared" si="4"/>
        <v/>
      </c>
      <c r="R64" s="133" t="str">
        <f t="shared" si="5"/>
        <v/>
      </c>
      <c r="S64" s="134" t="str">
        <f t="shared" si="6"/>
        <v/>
      </c>
      <c r="T64" s="128"/>
      <c r="U64" s="129"/>
      <c r="V64" s="130"/>
      <c r="W64" s="136" t="str">
        <f t="shared" si="7"/>
        <v/>
      </c>
      <c r="X64" s="133" t="str">
        <f t="shared" si="8"/>
        <v/>
      </c>
      <c r="Y64" s="134" t="str">
        <f t="shared" si="9"/>
        <v/>
      </c>
      <c r="Z64" s="137" t="str">
        <f t="shared" si="10"/>
        <v/>
      </c>
      <c r="AA64" s="138" t="str">
        <f t="shared" si="11"/>
        <v/>
      </c>
      <c r="AB64" s="139" t="str">
        <f t="shared" si="12"/>
        <v/>
      </c>
      <c r="AC64" s="140" t="str">
        <f t="array" ref="AC64">IF(AB64="","",IFERROR(INDEX(HELPER!$D$8:$D$48,IF(AB64&gt;=HELPER!$B$8,1,MATCH(AB64,HELPER!$B$8:$B$48,-1)+1)),""))</f>
        <v/>
      </c>
      <c r="AD64" s="141" t="str">
        <f>IF(AC64="","",IFERROR(VLOOKUP(AC64,HELPER!$F$8:$G$48,2,FALSE),""))</f>
        <v/>
      </c>
      <c r="AE64" s="6"/>
      <c r="AF64" s="12"/>
    </row>
    <row r="65" ht="15.0" customHeight="1">
      <c r="A65" s="6"/>
      <c r="B65" s="168">
        <v>48.0</v>
      </c>
      <c r="C65" s="145" t="str">
        <f>IF('INPUT DATA'!K58="","",'INPUT DATA'!K58)</f>
        <v/>
      </c>
      <c r="D65" s="107"/>
      <c r="E65" s="108"/>
      <c r="F65" s="128"/>
      <c r="G65" s="129"/>
      <c r="H65" s="129"/>
      <c r="I65" s="129"/>
      <c r="J65" s="130"/>
      <c r="K65" s="132" t="str">
        <f t="shared" si="1"/>
        <v/>
      </c>
      <c r="L65" s="135" t="str">
        <f t="shared" si="2"/>
        <v/>
      </c>
      <c r="M65" s="134" t="str">
        <f t="shared" si="3"/>
        <v/>
      </c>
      <c r="N65" s="128"/>
      <c r="O65" s="129"/>
      <c r="P65" s="130"/>
      <c r="Q65" s="132" t="str">
        <f t="shared" si="4"/>
        <v/>
      </c>
      <c r="R65" s="133" t="str">
        <f t="shared" si="5"/>
        <v/>
      </c>
      <c r="S65" s="134" t="str">
        <f t="shared" si="6"/>
        <v/>
      </c>
      <c r="T65" s="128"/>
      <c r="U65" s="129"/>
      <c r="V65" s="130"/>
      <c r="W65" s="136" t="str">
        <f t="shared" si="7"/>
        <v/>
      </c>
      <c r="X65" s="133" t="str">
        <f t="shared" si="8"/>
        <v/>
      </c>
      <c r="Y65" s="134" t="str">
        <f t="shared" si="9"/>
        <v/>
      </c>
      <c r="Z65" s="137" t="str">
        <f t="shared" si="10"/>
        <v/>
      </c>
      <c r="AA65" s="138" t="str">
        <f t="shared" si="11"/>
        <v/>
      </c>
      <c r="AB65" s="139" t="str">
        <f t="shared" si="12"/>
        <v/>
      </c>
      <c r="AC65" s="140" t="str">
        <f t="array" ref="AC65">IF(AB65="","",IFERROR(INDEX(HELPER!$D$8:$D$48,IF(AB65&gt;=HELPER!$B$8,1,MATCH(AB65,HELPER!$B$8:$B$48,-1)+1)),""))</f>
        <v/>
      </c>
      <c r="AD65" s="141" t="str">
        <f>IF(AC65="","",IFERROR(VLOOKUP(AC65,HELPER!$F$8:$G$48,2,FALSE),""))</f>
        <v/>
      </c>
      <c r="AE65" s="6"/>
      <c r="AF65" s="12"/>
    </row>
    <row r="66" ht="15.0" customHeight="1">
      <c r="A66" s="6"/>
      <c r="B66" s="168">
        <v>49.0</v>
      </c>
      <c r="C66" s="145" t="str">
        <f>IF('INPUT DATA'!K59="","",'INPUT DATA'!K59)</f>
        <v/>
      </c>
      <c r="D66" s="107"/>
      <c r="E66" s="108"/>
      <c r="F66" s="128"/>
      <c r="G66" s="129"/>
      <c r="H66" s="129"/>
      <c r="I66" s="129"/>
      <c r="J66" s="130"/>
      <c r="K66" s="132" t="str">
        <f t="shared" si="1"/>
        <v/>
      </c>
      <c r="L66" s="135" t="str">
        <f t="shared" si="2"/>
        <v/>
      </c>
      <c r="M66" s="134" t="str">
        <f t="shared" si="3"/>
        <v/>
      </c>
      <c r="N66" s="128"/>
      <c r="O66" s="129"/>
      <c r="P66" s="130"/>
      <c r="Q66" s="132" t="str">
        <f t="shared" si="4"/>
        <v/>
      </c>
      <c r="R66" s="133" t="str">
        <f t="shared" si="5"/>
        <v/>
      </c>
      <c r="S66" s="134" t="str">
        <f t="shared" si="6"/>
        <v/>
      </c>
      <c r="T66" s="128"/>
      <c r="U66" s="129"/>
      <c r="V66" s="130"/>
      <c r="W66" s="136" t="str">
        <f t="shared" si="7"/>
        <v/>
      </c>
      <c r="X66" s="133" t="str">
        <f t="shared" si="8"/>
        <v/>
      </c>
      <c r="Y66" s="134" t="str">
        <f t="shared" si="9"/>
        <v/>
      </c>
      <c r="Z66" s="137" t="str">
        <f t="shared" si="10"/>
        <v/>
      </c>
      <c r="AA66" s="138" t="str">
        <f t="shared" si="11"/>
        <v/>
      </c>
      <c r="AB66" s="139" t="str">
        <f t="shared" si="12"/>
        <v/>
      </c>
      <c r="AC66" s="140" t="str">
        <f t="array" ref="AC66">IF(AB66="","",IFERROR(INDEX(HELPER!$D$8:$D$48,IF(AB66&gt;=HELPER!$B$8,1,MATCH(AB66,HELPER!$B$8:$B$48,-1)+1)),""))</f>
        <v/>
      </c>
      <c r="AD66" s="141" t="str">
        <f>IF(AC66="","",IFERROR(VLOOKUP(AC66,HELPER!$F$8:$G$48,2,FALSE),""))</f>
        <v/>
      </c>
      <c r="AE66" s="6"/>
      <c r="AF66" s="12"/>
    </row>
    <row r="67" ht="15.0" customHeight="1">
      <c r="A67" s="6"/>
      <c r="B67" s="168">
        <v>50.0</v>
      </c>
      <c r="C67" s="145" t="str">
        <f>IF('INPUT DATA'!K60="","",'INPUT DATA'!K60)</f>
        <v/>
      </c>
      <c r="D67" s="107"/>
      <c r="E67" s="108"/>
      <c r="F67" s="184"/>
      <c r="G67" s="185"/>
      <c r="H67" s="185"/>
      <c r="I67" s="185"/>
      <c r="J67" s="186"/>
      <c r="K67" s="132" t="str">
        <f t="shared" si="1"/>
        <v/>
      </c>
      <c r="L67" s="135" t="str">
        <f t="shared" si="2"/>
        <v/>
      </c>
      <c r="M67" s="134" t="str">
        <f t="shared" si="3"/>
        <v/>
      </c>
      <c r="N67" s="184"/>
      <c r="O67" s="185"/>
      <c r="P67" s="186"/>
      <c r="Q67" s="132" t="str">
        <f t="shared" si="4"/>
        <v/>
      </c>
      <c r="R67" s="133" t="str">
        <f t="shared" si="5"/>
        <v/>
      </c>
      <c r="S67" s="134" t="str">
        <f t="shared" si="6"/>
        <v/>
      </c>
      <c r="T67" s="184"/>
      <c r="U67" s="185"/>
      <c r="V67" s="186"/>
      <c r="W67" s="136" t="str">
        <f t="shared" si="7"/>
        <v/>
      </c>
      <c r="X67" s="133" t="str">
        <f t="shared" si="8"/>
        <v/>
      </c>
      <c r="Y67" s="134" t="str">
        <f t="shared" si="9"/>
        <v/>
      </c>
      <c r="Z67" s="137" t="str">
        <f t="shared" si="10"/>
        <v/>
      </c>
      <c r="AA67" s="138" t="str">
        <f t="shared" si="11"/>
        <v/>
      </c>
      <c r="AB67" s="139" t="str">
        <f t="shared" si="12"/>
        <v/>
      </c>
      <c r="AC67" s="187" t="str">
        <f t="array" ref="AC67">IF(AB67="","",IFERROR(INDEX(HELPER!$D$8:$D$48,IF(AB67&gt;=HELPER!$B$8,1,MATCH(AB67,HELPER!$B$8:$B$48,-1)+1)),""))</f>
        <v/>
      </c>
      <c r="AD67" s="188" t="str">
        <f>IF(AC67="","",IFERROR(VLOOKUP(AC67,HELPER!$F$8:$G$48,2,FALSE),""))</f>
        <v/>
      </c>
      <c r="AE67" s="6"/>
      <c r="AF67" s="12"/>
    </row>
    <row r="68" ht="15.75" customHeight="1">
      <c r="A68" s="6"/>
      <c r="B68" s="189" t="s">
        <v>7</v>
      </c>
      <c r="C68" s="160"/>
      <c r="D68" s="160"/>
      <c r="E68" s="160"/>
      <c r="F68" s="160"/>
      <c r="G68" s="160"/>
      <c r="H68" s="160"/>
      <c r="I68" s="160"/>
      <c r="J68" s="160"/>
      <c r="K68" s="160"/>
      <c r="L68" s="160"/>
      <c r="M68" s="160"/>
      <c r="N68" s="160"/>
      <c r="O68" s="160"/>
      <c r="P68" s="160"/>
      <c r="Q68" s="160"/>
      <c r="R68" s="160"/>
      <c r="S68" s="160"/>
      <c r="T68" s="160"/>
      <c r="U68" s="160"/>
      <c r="V68" s="160"/>
      <c r="W68" s="160"/>
      <c r="X68" s="160"/>
      <c r="Y68" s="160"/>
      <c r="Z68" s="160"/>
      <c r="AA68" s="160"/>
      <c r="AB68" s="160"/>
      <c r="AC68" s="160"/>
      <c r="AD68" s="161"/>
      <c r="AE68" s="6"/>
      <c r="AF68" s="12"/>
    </row>
    <row r="69" ht="15.0" customHeight="1">
      <c r="A69" s="6"/>
      <c r="B69" s="190">
        <v>1.0</v>
      </c>
      <c r="C69" s="191" t="str">
        <f>IF('INPUT DATA'!N11="","",'INPUT DATA'!N11)</f>
        <v/>
      </c>
      <c r="D69" s="192"/>
      <c r="E69" s="193"/>
      <c r="F69" s="109"/>
      <c r="G69" s="110"/>
      <c r="H69" s="110"/>
      <c r="I69" s="110"/>
      <c r="J69" s="111"/>
      <c r="K69" s="194" t="str">
        <f t="shared" ref="K69:K118" si="13">IF(COUNT($F69:$J69)=0,"",SUM($F69:$J69))</f>
        <v/>
      </c>
      <c r="L69" s="195" t="str">
        <f t="shared" ref="L69:L118" si="14">IF(COUNT(F69:J69)=0,"",IFERROR(K69/$K$15*$L$15,""))</f>
        <v/>
      </c>
      <c r="M69" s="196" t="str">
        <f t="shared" ref="M69:M118" si="15">IF(L69="","",L69*$M$15)</f>
        <v/>
      </c>
      <c r="N69" s="109"/>
      <c r="O69" s="110"/>
      <c r="P69" s="111"/>
      <c r="Q69" s="194" t="str">
        <f t="shared" ref="Q69:Q118" si="16">IF(COUNT(N69:P69)=0,"",SUM(N69:P69))</f>
        <v/>
      </c>
      <c r="R69" s="195" t="str">
        <f t="shared" ref="R69:R118" si="17">IF(COUNT(N69:P69)=0,"",IFERROR(Q69/$Q$15*$R$15,""))</f>
        <v/>
      </c>
      <c r="S69" s="196" t="str">
        <f t="shared" ref="S69:S118" si="18">IF(R69="","",R69*$S$15)</f>
        <v/>
      </c>
      <c r="T69" s="109"/>
      <c r="U69" s="110"/>
      <c r="V69" s="111"/>
      <c r="W69" s="197" t="str">
        <f t="shared" ref="W69:W118" si="19">IF(T69="","",IFERROR(T69/$T$15*$W$15,""))</f>
        <v/>
      </c>
      <c r="X69" s="195" t="str">
        <f t="shared" ref="X69:X118" si="20">IF(U69="","",IFERROR(U69/$U$15*$X$15,""))</f>
        <v/>
      </c>
      <c r="Y69" s="196" t="str">
        <f t="shared" ref="Y69:Y118" si="21">IF(V69="","",IFERROR(V69/$V$15*$Y$15,""))</f>
        <v/>
      </c>
      <c r="Z69" s="198" t="str">
        <f t="shared" ref="Z69:Z118" si="22">IF(COUNT(T69:V69)=0,"",SUM(W69:Y69))</f>
        <v/>
      </c>
      <c r="AA69" s="199" t="str">
        <f t="shared" ref="AA69:AA118" si="23">IF(Z69="","",Z69*$AA$15)</f>
        <v/>
      </c>
      <c r="AB69" s="200" t="str">
        <f t="shared" ref="AB69:AB118" si="24">IF(COUNT(F69:J69,N69:P69,T69:V69)=0,"",SUM(M69,S69,AA69))</f>
        <v/>
      </c>
      <c r="AC69" s="123" t="str">
        <f t="array" ref="AC69">IF(AB69="","",IFERROR(INDEX(HELPER!$D$8:$D$48,IF(AB69&gt;=HELPER!$B$8,1,MATCH(AB69,HELPER!$B$8:$B$48,-1)+1)),""))</f>
        <v/>
      </c>
      <c r="AD69" s="125" t="str">
        <f>IF(AC69="","",IFERROR(VLOOKUP(AC69,HELPER!$F$8:$G$48,2,FALSE),""))</f>
        <v/>
      </c>
      <c r="AE69" s="6"/>
      <c r="AF69" s="12"/>
    </row>
    <row r="70" ht="15.0" customHeight="1">
      <c r="A70" s="6"/>
      <c r="B70" s="201">
        <v>2.0</v>
      </c>
      <c r="C70" s="202" t="str">
        <f>IF('INPUT DATA'!N12="","",'INPUT DATA'!N12)</f>
        <v/>
      </c>
      <c r="D70" s="203"/>
      <c r="E70" s="204"/>
      <c r="F70" s="128"/>
      <c r="G70" s="129"/>
      <c r="H70" s="129"/>
      <c r="I70" s="129"/>
      <c r="J70" s="130"/>
      <c r="K70" s="132" t="str">
        <f t="shared" si="13"/>
        <v/>
      </c>
      <c r="L70" s="133" t="str">
        <f t="shared" si="14"/>
        <v/>
      </c>
      <c r="M70" s="134" t="str">
        <f t="shared" si="15"/>
        <v/>
      </c>
      <c r="N70" s="128"/>
      <c r="O70" s="129"/>
      <c r="P70" s="130"/>
      <c r="Q70" s="132" t="str">
        <f t="shared" si="16"/>
        <v/>
      </c>
      <c r="R70" s="133" t="str">
        <f t="shared" si="17"/>
        <v/>
      </c>
      <c r="S70" s="134" t="str">
        <f t="shared" si="18"/>
        <v/>
      </c>
      <c r="T70" s="128"/>
      <c r="U70" s="129"/>
      <c r="V70" s="130"/>
      <c r="W70" s="136" t="str">
        <f t="shared" si="19"/>
        <v/>
      </c>
      <c r="X70" s="133" t="str">
        <f t="shared" si="20"/>
        <v/>
      </c>
      <c r="Y70" s="134" t="str">
        <f t="shared" si="21"/>
        <v/>
      </c>
      <c r="Z70" s="137" t="str">
        <f t="shared" si="22"/>
        <v/>
      </c>
      <c r="AA70" s="138" t="str">
        <f t="shared" si="23"/>
        <v/>
      </c>
      <c r="AB70" s="139" t="str">
        <f t="shared" si="24"/>
        <v/>
      </c>
      <c r="AC70" s="140" t="str">
        <f t="array" ref="AC70">IF(AB70="","",IFERROR(INDEX(HELPER!$D$8:$D$48,IF(AB70&gt;=HELPER!$B$8,1,MATCH(AB70,HELPER!$B$8:$B$48,-1)+1)),""))</f>
        <v/>
      </c>
      <c r="AD70" s="141" t="str">
        <f>IF(AC70="","",IFERROR(VLOOKUP(AC70,HELPER!$F$8:$G$48,2,FALSE),""))</f>
        <v/>
      </c>
      <c r="AE70" s="6"/>
      <c r="AF70" s="12"/>
    </row>
    <row r="71" ht="15.0" customHeight="1">
      <c r="A71" s="6"/>
      <c r="B71" s="201">
        <v>3.0</v>
      </c>
      <c r="C71" s="202" t="str">
        <f>IF('INPUT DATA'!N13="","",'INPUT DATA'!N13)</f>
        <v/>
      </c>
      <c r="D71" s="203"/>
      <c r="E71" s="204"/>
      <c r="F71" s="128"/>
      <c r="G71" s="129"/>
      <c r="H71" s="129"/>
      <c r="I71" s="129"/>
      <c r="J71" s="130"/>
      <c r="K71" s="132" t="str">
        <f t="shared" si="13"/>
        <v/>
      </c>
      <c r="L71" s="133" t="str">
        <f t="shared" si="14"/>
        <v/>
      </c>
      <c r="M71" s="134" t="str">
        <f t="shared" si="15"/>
        <v/>
      </c>
      <c r="N71" s="128"/>
      <c r="O71" s="129"/>
      <c r="P71" s="130"/>
      <c r="Q71" s="132" t="str">
        <f t="shared" si="16"/>
        <v/>
      </c>
      <c r="R71" s="133" t="str">
        <f t="shared" si="17"/>
        <v/>
      </c>
      <c r="S71" s="134" t="str">
        <f t="shared" si="18"/>
        <v/>
      </c>
      <c r="T71" s="128"/>
      <c r="U71" s="129"/>
      <c r="V71" s="130"/>
      <c r="W71" s="136" t="str">
        <f t="shared" si="19"/>
        <v/>
      </c>
      <c r="X71" s="133" t="str">
        <f t="shared" si="20"/>
        <v/>
      </c>
      <c r="Y71" s="134" t="str">
        <f t="shared" si="21"/>
        <v/>
      </c>
      <c r="Z71" s="137" t="str">
        <f t="shared" si="22"/>
        <v/>
      </c>
      <c r="AA71" s="138" t="str">
        <f t="shared" si="23"/>
        <v/>
      </c>
      <c r="AB71" s="139" t="str">
        <f t="shared" si="24"/>
        <v/>
      </c>
      <c r="AC71" s="140" t="str">
        <f t="array" ref="AC71">IF(AB71="","",IFERROR(INDEX(HELPER!$D$8:$D$48,IF(AB71&gt;=HELPER!$B$8,1,MATCH(AB71,HELPER!$B$8:$B$48,-1)+1)),""))</f>
        <v/>
      </c>
      <c r="AD71" s="141" t="str">
        <f>IF(AC71="","",IFERROR(VLOOKUP(AC71,HELPER!$F$8:$G$48,2,FALSE),""))</f>
        <v/>
      </c>
      <c r="AE71" s="6"/>
      <c r="AF71" s="12"/>
    </row>
    <row r="72" ht="15.0" customHeight="1">
      <c r="A72" s="6"/>
      <c r="B72" s="201">
        <v>4.0</v>
      </c>
      <c r="C72" s="202" t="str">
        <f>IF('INPUT DATA'!N14="","",'INPUT DATA'!N14)</f>
        <v/>
      </c>
      <c r="D72" s="203"/>
      <c r="E72" s="204"/>
      <c r="F72" s="128"/>
      <c r="G72" s="129"/>
      <c r="H72" s="129"/>
      <c r="I72" s="129"/>
      <c r="J72" s="130"/>
      <c r="K72" s="132" t="str">
        <f t="shared" si="13"/>
        <v/>
      </c>
      <c r="L72" s="133" t="str">
        <f t="shared" si="14"/>
        <v/>
      </c>
      <c r="M72" s="134" t="str">
        <f t="shared" si="15"/>
        <v/>
      </c>
      <c r="N72" s="128"/>
      <c r="O72" s="129"/>
      <c r="P72" s="130"/>
      <c r="Q72" s="132" t="str">
        <f t="shared" si="16"/>
        <v/>
      </c>
      <c r="R72" s="133" t="str">
        <f t="shared" si="17"/>
        <v/>
      </c>
      <c r="S72" s="134" t="str">
        <f t="shared" si="18"/>
        <v/>
      </c>
      <c r="T72" s="128"/>
      <c r="U72" s="129"/>
      <c r="V72" s="130"/>
      <c r="W72" s="136" t="str">
        <f t="shared" si="19"/>
        <v/>
      </c>
      <c r="X72" s="133" t="str">
        <f t="shared" si="20"/>
        <v/>
      </c>
      <c r="Y72" s="134" t="str">
        <f t="shared" si="21"/>
        <v/>
      </c>
      <c r="Z72" s="137" t="str">
        <f t="shared" si="22"/>
        <v/>
      </c>
      <c r="AA72" s="138" t="str">
        <f t="shared" si="23"/>
        <v/>
      </c>
      <c r="AB72" s="139" t="str">
        <f t="shared" si="24"/>
        <v/>
      </c>
      <c r="AC72" s="140" t="str">
        <f t="array" ref="AC72">IF(AB72="","",IFERROR(INDEX(HELPER!$D$8:$D$48,IF(AB72&gt;=HELPER!$B$8,1,MATCH(AB72,HELPER!$B$8:$B$48,-1)+1)),""))</f>
        <v/>
      </c>
      <c r="AD72" s="141" t="str">
        <f>IF(AC72="","",IFERROR(VLOOKUP(AC72,HELPER!$F$8:$G$48,2,FALSE),""))</f>
        <v/>
      </c>
      <c r="AE72" s="6"/>
      <c r="AF72" s="12"/>
    </row>
    <row r="73" ht="15.0" customHeight="1">
      <c r="A73" s="6"/>
      <c r="B73" s="201">
        <v>5.0</v>
      </c>
      <c r="C73" s="202" t="str">
        <f>IF('INPUT DATA'!N15="","",'INPUT DATA'!N15)</f>
        <v/>
      </c>
      <c r="D73" s="203"/>
      <c r="E73" s="204"/>
      <c r="F73" s="128"/>
      <c r="G73" s="129"/>
      <c r="H73" s="129"/>
      <c r="I73" s="129"/>
      <c r="J73" s="130"/>
      <c r="K73" s="132" t="str">
        <f t="shared" si="13"/>
        <v/>
      </c>
      <c r="L73" s="133" t="str">
        <f t="shared" si="14"/>
        <v/>
      </c>
      <c r="M73" s="134" t="str">
        <f t="shared" si="15"/>
        <v/>
      </c>
      <c r="N73" s="128"/>
      <c r="O73" s="129"/>
      <c r="P73" s="130"/>
      <c r="Q73" s="132" t="str">
        <f t="shared" si="16"/>
        <v/>
      </c>
      <c r="R73" s="133" t="str">
        <f t="shared" si="17"/>
        <v/>
      </c>
      <c r="S73" s="134" t="str">
        <f t="shared" si="18"/>
        <v/>
      </c>
      <c r="T73" s="128"/>
      <c r="U73" s="129"/>
      <c r="V73" s="130"/>
      <c r="W73" s="136" t="str">
        <f t="shared" si="19"/>
        <v/>
      </c>
      <c r="X73" s="133" t="str">
        <f t="shared" si="20"/>
        <v/>
      </c>
      <c r="Y73" s="134" t="str">
        <f t="shared" si="21"/>
        <v/>
      </c>
      <c r="Z73" s="137" t="str">
        <f t="shared" si="22"/>
        <v/>
      </c>
      <c r="AA73" s="138" t="str">
        <f t="shared" si="23"/>
        <v/>
      </c>
      <c r="AB73" s="139" t="str">
        <f t="shared" si="24"/>
        <v/>
      </c>
      <c r="AC73" s="140" t="str">
        <f t="array" ref="AC73">IF(AB73="","",IFERROR(INDEX(HELPER!$D$8:$D$48,IF(AB73&gt;=HELPER!$B$8,1,MATCH(AB73,HELPER!$B$8:$B$48,-1)+1)),""))</f>
        <v/>
      </c>
      <c r="AD73" s="141" t="str">
        <f>IF(AC73="","",IFERROR(VLOOKUP(AC73,HELPER!$F$8:$G$48,2,FALSE),""))</f>
        <v/>
      </c>
      <c r="AE73" s="6"/>
      <c r="AF73" s="12"/>
    </row>
    <row r="74" ht="15.0" customHeight="1">
      <c r="A74" s="6"/>
      <c r="B74" s="201">
        <v>6.0</v>
      </c>
      <c r="C74" s="202" t="str">
        <f>IF('INPUT DATA'!N16="","",'INPUT DATA'!N16)</f>
        <v/>
      </c>
      <c r="D74" s="203"/>
      <c r="E74" s="204"/>
      <c r="F74" s="128"/>
      <c r="G74" s="129"/>
      <c r="H74" s="129"/>
      <c r="I74" s="129"/>
      <c r="J74" s="130"/>
      <c r="K74" s="132" t="str">
        <f t="shared" si="13"/>
        <v/>
      </c>
      <c r="L74" s="133" t="str">
        <f t="shared" si="14"/>
        <v/>
      </c>
      <c r="M74" s="134" t="str">
        <f t="shared" si="15"/>
        <v/>
      </c>
      <c r="N74" s="128"/>
      <c r="O74" s="129"/>
      <c r="P74" s="130"/>
      <c r="Q74" s="132" t="str">
        <f t="shared" si="16"/>
        <v/>
      </c>
      <c r="R74" s="133" t="str">
        <f t="shared" si="17"/>
        <v/>
      </c>
      <c r="S74" s="134" t="str">
        <f t="shared" si="18"/>
        <v/>
      </c>
      <c r="T74" s="128"/>
      <c r="U74" s="129"/>
      <c r="V74" s="130"/>
      <c r="W74" s="136" t="str">
        <f t="shared" si="19"/>
        <v/>
      </c>
      <c r="X74" s="133" t="str">
        <f t="shared" si="20"/>
        <v/>
      </c>
      <c r="Y74" s="134" t="str">
        <f t="shared" si="21"/>
        <v/>
      </c>
      <c r="Z74" s="137" t="str">
        <f t="shared" si="22"/>
        <v/>
      </c>
      <c r="AA74" s="138" t="str">
        <f t="shared" si="23"/>
        <v/>
      </c>
      <c r="AB74" s="139" t="str">
        <f t="shared" si="24"/>
        <v/>
      </c>
      <c r="AC74" s="140" t="str">
        <f t="array" ref="AC74">IF(AB74="","",IFERROR(INDEX(HELPER!$D$8:$D$48,IF(AB74&gt;=HELPER!$B$8,1,MATCH(AB74,HELPER!$B$8:$B$48,-1)+1)),""))</f>
        <v/>
      </c>
      <c r="AD74" s="141" t="str">
        <f>IF(AC74="","",IFERROR(VLOOKUP(AC74,HELPER!$F$8:$G$48,2,FALSE),""))</f>
        <v/>
      </c>
      <c r="AE74" s="6"/>
      <c r="AF74" s="12"/>
    </row>
    <row r="75" ht="15.0" customHeight="1">
      <c r="A75" s="6"/>
      <c r="B75" s="201">
        <v>7.0</v>
      </c>
      <c r="C75" s="202" t="str">
        <f>IF('INPUT DATA'!N17="","",'INPUT DATA'!N17)</f>
        <v/>
      </c>
      <c r="D75" s="203"/>
      <c r="E75" s="204"/>
      <c r="F75" s="128"/>
      <c r="G75" s="129"/>
      <c r="H75" s="129"/>
      <c r="I75" s="129"/>
      <c r="J75" s="130"/>
      <c r="K75" s="132" t="str">
        <f t="shared" si="13"/>
        <v/>
      </c>
      <c r="L75" s="133" t="str">
        <f t="shared" si="14"/>
        <v/>
      </c>
      <c r="M75" s="134" t="str">
        <f t="shared" si="15"/>
        <v/>
      </c>
      <c r="N75" s="128"/>
      <c r="O75" s="129"/>
      <c r="P75" s="130"/>
      <c r="Q75" s="132" t="str">
        <f t="shared" si="16"/>
        <v/>
      </c>
      <c r="R75" s="133" t="str">
        <f t="shared" si="17"/>
        <v/>
      </c>
      <c r="S75" s="134" t="str">
        <f t="shared" si="18"/>
        <v/>
      </c>
      <c r="T75" s="128"/>
      <c r="U75" s="129"/>
      <c r="V75" s="130"/>
      <c r="W75" s="136" t="str">
        <f t="shared" si="19"/>
        <v/>
      </c>
      <c r="X75" s="133" t="str">
        <f t="shared" si="20"/>
        <v/>
      </c>
      <c r="Y75" s="134" t="str">
        <f t="shared" si="21"/>
        <v/>
      </c>
      <c r="Z75" s="137" t="str">
        <f t="shared" si="22"/>
        <v/>
      </c>
      <c r="AA75" s="138" t="str">
        <f t="shared" si="23"/>
        <v/>
      </c>
      <c r="AB75" s="139" t="str">
        <f t="shared" si="24"/>
        <v/>
      </c>
      <c r="AC75" s="140" t="str">
        <f t="array" ref="AC75">IF(AB75="","",IFERROR(INDEX(HELPER!$D$8:$D$48,IF(AB75&gt;=HELPER!$B$8,1,MATCH(AB75,HELPER!$B$8:$B$48,-1)+1)),""))</f>
        <v/>
      </c>
      <c r="AD75" s="141" t="str">
        <f>IF(AC75="","",IFERROR(VLOOKUP(AC75,HELPER!$F$8:$G$48,2,FALSE),""))</f>
        <v/>
      </c>
      <c r="AE75" s="6"/>
      <c r="AF75" s="12"/>
    </row>
    <row r="76" ht="15.0" customHeight="1">
      <c r="A76" s="6"/>
      <c r="B76" s="201">
        <v>8.0</v>
      </c>
      <c r="C76" s="202" t="str">
        <f>IF('INPUT DATA'!N18="","",'INPUT DATA'!N18)</f>
        <v/>
      </c>
      <c r="D76" s="203"/>
      <c r="E76" s="204"/>
      <c r="F76" s="128"/>
      <c r="G76" s="129"/>
      <c r="H76" s="129"/>
      <c r="I76" s="129"/>
      <c r="J76" s="130"/>
      <c r="K76" s="132" t="str">
        <f t="shared" si="13"/>
        <v/>
      </c>
      <c r="L76" s="133" t="str">
        <f t="shared" si="14"/>
        <v/>
      </c>
      <c r="M76" s="134" t="str">
        <f t="shared" si="15"/>
        <v/>
      </c>
      <c r="N76" s="128"/>
      <c r="O76" s="129"/>
      <c r="P76" s="130"/>
      <c r="Q76" s="132" t="str">
        <f t="shared" si="16"/>
        <v/>
      </c>
      <c r="R76" s="133" t="str">
        <f t="shared" si="17"/>
        <v/>
      </c>
      <c r="S76" s="134" t="str">
        <f t="shared" si="18"/>
        <v/>
      </c>
      <c r="T76" s="128"/>
      <c r="U76" s="129"/>
      <c r="V76" s="130"/>
      <c r="W76" s="136" t="str">
        <f t="shared" si="19"/>
        <v/>
      </c>
      <c r="X76" s="133" t="str">
        <f t="shared" si="20"/>
        <v/>
      </c>
      <c r="Y76" s="134" t="str">
        <f t="shared" si="21"/>
        <v/>
      </c>
      <c r="Z76" s="137" t="str">
        <f t="shared" si="22"/>
        <v/>
      </c>
      <c r="AA76" s="138" t="str">
        <f t="shared" si="23"/>
        <v/>
      </c>
      <c r="AB76" s="139" t="str">
        <f t="shared" si="24"/>
        <v/>
      </c>
      <c r="AC76" s="140" t="str">
        <f t="array" ref="AC76">IF(AB76="","",IFERROR(INDEX(HELPER!$D$8:$D$48,IF(AB76&gt;=HELPER!$B$8,1,MATCH(AB76,HELPER!$B$8:$B$48,-1)+1)),""))</f>
        <v/>
      </c>
      <c r="AD76" s="141" t="str">
        <f>IF(AC76="","",IFERROR(VLOOKUP(AC76,HELPER!$F$8:$G$48,2,FALSE),""))</f>
        <v/>
      </c>
      <c r="AE76" s="6"/>
      <c r="AF76" s="12"/>
    </row>
    <row r="77" ht="15.0" customHeight="1">
      <c r="A77" s="6"/>
      <c r="B77" s="201">
        <v>9.0</v>
      </c>
      <c r="C77" s="202" t="str">
        <f>IF('INPUT DATA'!N19="","",'INPUT DATA'!N19)</f>
        <v/>
      </c>
      <c r="D77" s="203"/>
      <c r="E77" s="204"/>
      <c r="F77" s="128"/>
      <c r="G77" s="129"/>
      <c r="H77" s="129"/>
      <c r="I77" s="129"/>
      <c r="J77" s="130"/>
      <c r="K77" s="132" t="str">
        <f t="shared" si="13"/>
        <v/>
      </c>
      <c r="L77" s="133" t="str">
        <f t="shared" si="14"/>
        <v/>
      </c>
      <c r="M77" s="134" t="str">
        <f t="shared" si="15"/>
        <v/>
      </c>
      <c r="N77" s="128"/>
      <c r="O77" s="129"/>
      <c r="P77" s="130"/>
      <c r="Q77" s="132" t="str">
        <f t="shared" si="16"/>
        <v/>
      </c>
      <c r="R77" s="133" t="str">
        <f t="shared" si="17"/>
        <v/>
      </c>
      <c r="S77" s="134" t="str">
        <f t="shared" si="18"/>
        <v/>
      </c>
      <c r="T77" s="128"/>
      <c r="U77" s="129"/>
      <c r="V77" s="130"/>
      <c r="W77" s="136" t="str">
        <f t="shared" si="19"/>
        <v/>
      </c>
      <c r="X77" s="133" t="str">
        <f t="shared" si="20"/>
        <v/>
      </c>
      <c r="Y77" s="134" t="str">
        <f t="shared" si="21"/>
        <v/>
      </c>
      <c r="Z77" s="137" t="str">
        <f t="shared" si="22"/>
        <v/>
      </c>
      <c r="AA77" s="138" t="str">
        <f t="shared" si="23"/>
        <v/>
      </c>
      <c r="AB77" s="139" t="str">
        <f t="shared" si="24"/>
        <v/>
      </c>
      <c r="AC77" s="140" t="str">
        <f t="array" ref="AC77">IF(AB77="","",IFERROR(INDEX(HELPER!$D$8:$D$48,IF(AB77&gt;=HELPER!$B$8,1,MATCH(AB77,HELPER!$B$8:$B$48,-1)+1)),""))</f>
        <v/>
      </c>
      <c r="AD77" s="141" t="str">
        <f>IF(AC77="","",IFERROR(VLOOKUP(AC77,HELPER!$F$8:$G$48,2,FALSE),""))</f>
        <v/>
      </c>
      <c r="AE77" s="6"/>
      <c r="AF77" s="12"/>
    </row>
    <row r="78" ht="15.0" customHeight="1">
      <c r="A78" s="6"/>
      <c r="B78" s="201">
        <v>10.0</v>
      </c>
      <c r="C78" s="202" t="str">
        <f>IF('INPUT DATA'!N20="","",'INPUT DATA'!N20)</f>
        <v/>
      </c>
      <c r="D78" s="203"/>
      <c r="E78" s="204"/>
      <c r="F78" s="128"/>
      <c r="G78" s="129"/>
      <c r="H78" s="129"/>
      <c r="I78" s="129"/>
      <c r="J78" s="130"/>
      <c r="K78" s="132" t="str">
        <f t="shared" si="13"/>
        <v/>
      </c>
      <c r="L78" s="133" t="str">
        <f t="shared" si="14"/>
        <v/>
      </c>
      <c r="M78" s="134" t="str">
        <f t="shared" si="15"/>
        <v/>
      </c>
      <c r="N78" s="128"/>
      <c r="O78" s="129"/>
      <c r="P78" s="130"/>
      <c r="Q78" s="132" t="str">
        <f t="shared" si="16"/>
        <v/>
      </c>
      <c r="R78" s="133" t="str">
        <f t="shared" si="17"/>
        <v/>
      </c>
      <c r="S78" s="134" t="str">
        <f t="shared" si="18"/>
        <v/>
      </c>
      <c r="T78" s="128"/>
      <c r="U78" s="129"/>
      <c r="V78" s="130"/>
      <c r="W78" s="136" t="str">
        <f t="shared" si="19"/>
        <v/>
      </c>
      <c r="X78" s="133" t="str">
        <f t="shared" si="20"/>
        <v/>
      </c>
      <c r="Y78" s="134" t="str">
        <f t="shared" si="21"/>
        <v/>
      </c>
      <c r="Z78" s="137" t="str">
        <f t="shared" si="22"/>
        <v/>
      </c>
      <c r="AA78" s="138" t="str">
        <f t="shared" si="23"/>
        <v/>
      </c>
      <c r="AB78" s="139" t="str">
        <f t="shared" si="24"/>
        <v/>
      </c>
      <c r="AC78" s="140" t="str">
        <f t="array" ref="AC78">IF(AB78="","",IFERROR(INDEX(HELPER!$D$8:$D$48,IF(AB78&gt;=HELPER!$B$8,1,MATCH(AB78,HELPER!$B$8:$B$48,-1)+1)),""))</f>
        <v/>
      </c>
      <c r="AD78" s="141" t="str">
        <f>IF(AC78="","",IFERROR(VLOOKUP(AC78,HELPER!$F$8:$G$48,2,FALSE),""))</f>
        <v/>
      </c>
      <c r="AE78" s="6"/>
      <c r="AF78" s="12"/>
    </row>
    <row r="79" ht="15.0" customHeight="1">
      <c r="A79" s="6"/>
      <c r="B79" s="201">
        <v>11.0</v>
      </c>
      <c r="C79" s="202" t="str">
        <f>IF('INPUT DATA'!N21="","",'INPUT DATA'!N21)</f>
        <v/>
      </c>
      <c r="D79" s="203"/>
      <c r="E79" s="204"/>
      <c r="F79" s="128"/>
      <c r="G79" s="129"/>
      <c r="H79" s="129"/>
      <c r="I79" s="129"/>
      <c r="J79" s="130"/>
      <c r="K79" s="132" t="str">
        <f t="shared" si="13"/>
        <v/>
      </c>
      <c r="L79" s="133" t="str">
        <f t="shared" si="14"/>
        <v/>
      </c>
      <c r="M79" s="134" t="str">
        <f t="shared" si="15"/>
        <v/>
      </c>
      <c r="N79" s="128"/>
      <c r="O79" s="129"/>
      <c r="P79" s="130"/>
      <c r="Q79" s="132" t="str">
        <f t="shared" si="16"/>
        <v/>
      </c>
      <c r="R79" s="133" t="str">
        <f t="shared" si="17"/>
        <v/>
      </c>
      <c r="S79" s="134" t="str">
        <f t="shared" si="18"/>
        <v/>
      </c>
      <c r="T79" s="128"/>
      <c r="U79" s="129"/>
      <c r="V79" s="130"/>
      <c r="W79" s="136" t="str">
        <f t="shared" si="19"/>
        <v/>
      </c>
      <c r="X79" s="133" t="str">
        <f t="shared" si="20"/>
        <v/>
      </c>
      <c r="Y79" s="134" t="str">
        <f t="shared" si="21"/>
        <v/>
      </c>
      <c r="Z79" s="137" t="str">
        <f t="shared" si="22"/>
        <v/>
      </c>
      <c r="AA79" s="138" t="str">
        <f t="shared" si="23"/>
        <v/>
      </c>
      <c r="AB79" s="139" t="str">
        <f t="shared" si="24"/>
        <v/>
      </c>
      <c r="AC79" s="140" t="str">
        <f t="array" ref="AC79">IF(AB79="","",IFERROR(INDEX(HELPER!$D$8:$D$48,IF(AB79&gt;=HELPER!$B$8,1,MATCH(AB79,HELPER!$B$8:$B$48,-1)+1)),""))</f>
        <v/>
      </c>
      <c r="AD79" s="141" t="str">
        <f>IF(AC79="","",IFERROR(VLOOKUP(AC79,HELPER!$F$8:$G$48,2,FALSE),""))</f>
        <v/>
      </c>
      <c r="AE79" s="6"/>
      <c r="AF79" s="12"/>
    </row>
    <row r="80" ht="15.0" customHeight="1">
      <c r="A80" s="6"/>
      <c r="B80" s="201">
        <v>12.0</v>
      </c>
      <c r="C80" s="202" t="str">
        <f>IF('INPUT DATA'!N22="","",'INPUT DATA'!N22)</f>
        <v/>
      </c>
      <c r="D80" s="203"/>
      <c r="E80" s="204"/>
      <c r="F80" s="128"/>
      <c r="G80" s="129"/>
      <c r="H80" s="129"/>
      <c r="I80" s="129"/>
      <c r="J80" s="130"/>
      <c r="K80" s="132" t="str">
        <f t="shared" si="13"/>
        <v/>
      </c>
      <c r="L80" s="133" t="str">
        <f t="shared" si="14"/>
        <v/>
      </c>
      <c r="M80" s="134" t="str">
        <f t="shared" si="15"/>
        <v/>
      </c>
      <c r="N80" s="128"/>
      <c r="O80" s="129"/>
      <c r="P80" s="130"/>
      <c r="Q80" s="132" t="str">
        <f t="shared" si="16"/>
        <v/>
      </c>
      <c r="R80" s="133" t="str">
        <f t="shared" si="17"/>
        <v/>
      </c>
      <c r="S80" s="134" t="str">
        <f t="shared" si="18"/>
        <v/>
      </c>
      <c r="T80" s="128"/>
      <c r="U80" s="129"/>
      <c r="V80" s="130"/>
      <c r="W80" s="136" t="str">
        <f t="shared" si="19"/>
        <v/>
      </c>
      <c r="X80" s="133" t="str">
        <f t="shared" si="20"/>
        <v/>
      </c>
      <c r="Y80" s="134" t="str">
        <f t="shared" si="21"/>
        <v/>
      </c>
      <c r="Z80" s="137" t="str">
        <f t="shared" si="22"/>
        <v/>
      </c>
      <c r="AA80" s="138" t="str">
        <f t="shared" si="23"/>
        <v/>
      </c>
      <c r="AB80" s="139" t="str">
        <f t="shared" si="24"/>
        <v/>
      </c>
      <c r="AC80" s="140" t="str">
        <f t="array" ref="AC80">IF(AB80="","",IFERROR(INDEX(HELPER!$D$8:$D$48,IF(AB80&gt;=HELPER!$B$8,1,MATCH(AB80,HELPER!$B$8:$B$48,-1)+1)),""))</f>
        <v/>
      </c>
      <c r="AD80" s="141" t="str">
        <f>IF(AC80="","",IFERROR(VLOOKUP(AC80,HELPER!$F$8:$G$48,2,FALSE),""))</f>
        <v/>
      </c>
      <c r="AE80" s="6"/>
      <c r="AF80" s="12"/>
    </row>
    <row r="81" ht="15.0" customHeight="1">
      <c r="A81" s="6"/>
      <c r="B81" s="201">
        <v>13.0</v>
      </c>
      <c r="C81" s="202" t="str">
        <f>IF('INPUT DATA'!N23="","",'INPUT DATA'!N23)</f>
        <v/>
      </c>
      <c r="D81" s="203"/>
      <c r="E81" s="204"/>
      <c r="F81" s="128"/>
      <c r="G81" s="129"/>
      <c r="H81" s="129"/>
      <c r="I81" s="129"/>
      <c r="J81" s="130"/>
      <c r="K81" s="132" t="str">
        <f t="shared" si="13"/>
        <v/>
      </c>
      <c r="L81" s="133" t="str">
        <f t="shared" si="14"/>
        <v/>
      </c>
      <c r="M81" s="134" t="str">
        <f t="shared" si="15"/>
        <v/>
      </c>
      <c r="N81" s="128"/>
      <c r="O81" s="129"/>
      <c r="P81" s="130"/>
      <c r="Q81" s="132" t="str">
        <f t="shared" si="16"/>
        <v/>
      </c>
      <c r="R81" s="133" t="str">
        <f t="shared" si="17"/>
        <v/>
      </c>
      <c r="S81" s="134" t="str">
        <f t="shared" si="18"/>
        <v/>
      </c>
      <c r="T81" s="128"/>
      <c r="U81" s="129"/>
      <c r="V81" s="130"/>
      <c r="W81" s="136" t="str">
        <f t="shared" si="19"/>
        <v/>
      </c>
      <c r="X81" s="133" t="str">
        <f t="shared" si="20"/>
        <v/>
      </c>
      <c r="Y81" s="134" t="str">
        <f t="shared" si="21"/>
        <v/>
      </c>
      <c r="Z81" s="137" t="str">
        <f t="shared" si="22"/>
        <v/>
      </c>
      <c r="AA81" s="138" t="str">
        <f t="shared" si="23"/>
        <v/>
      </c>
      <c r="AB81" s="139" t="str">
        <f t="shared" si="24"/>
        <v/>
      </c>
      <c r="AC81" s="140" t="str">
        <f t="array" ref="AC81">IF(AB81="","",IFERROR(INDEX(HELPER!$D$8:$D$48,IF(AB81&gt;=HELPER!$B$8,1,MATCH(AB81,HELPER!$B$8:$B$48,-1)+1)),""))</f>
        <v/>
      </c>
      <c r="AD81" s="141" t="str">
        <f>IF(AC81="","",IFERROR(VLOOKUP(AC81,HELPER!$F$8:$G$48,2,FALSE),""))</f>
        <v/>
      </c>
      <c r="AE81" s="6"/>
      <c r="AF81" s="12"/>
    </row>
    <row r="82" ht="15.0" customHeight="1">
      <c r="A82" s="6"/>
      <c r="B82" s="201">
        <v>14.0</v>
      </c>
      <c r="C82" s="202" t="str">
        <f>IF('INPUT DATA'!N24="","",'INPUT DATA'!N24)</f>
        <v/>
      </c>
      <c r="D82" s="203"/>
      <c r="E82" s="204"/>
      <c r="F82" s="128"/>
      <c r="G82" s="129"/>
      <c r="H82" s="129"/>
      <c r="I82" s="129"/>
      <c r="J82" s="130"/>
      <c r="K82" s="132" t="str">
        <f t="shared" si="13"/>
        <v/>
      </c>
      <c r="L82" s="133" t="str">
        <f t="shared" si="14"/>
        <v/>
      </c>
      <c r="M82" s="134" t="str">
        <f t="shared" si="15"/>
        <v/>
      </c>
      <c r="N82" s="128"/>
      <c r="O82" s="129"/>
      <c r="P82" s="130"/>
      <c r="Q82" s="132" t="str">
        <f t="shared" si="16"/>
        <v/>
      </c>
      <c r="R82" s="133" t="str">
        <f t="shared" si="17"/>
        <v/>
      </c>
      <c r="S82" s="134" t="str">
        <f t="shared" si="18"/>
        <v/>
      </c>
      <c r="T82" s="128"/>
      <c r="U82" s="129"/>
      <c r="V82" s="130"/>
      <c r="W82" s="136" t="str">
        <f t="shared" si="19"/>
        <v/>
      </c>
      <c r="X82" s="133" t="str">
        <f t="shared" si="20"/>
        <v/>
      </c>
      <c r="Y82" s="134" t="str">
        <f t="shared" si="21"/>
        <v/>
      </c>
      <c r="Z82" s="137" t="str">
        <f t="shared" si="22"/>
        <v/>
      </c>
      <c r="AA82" s="138" t="str">
        <f t="shared" si="23"/>
        <v/>
      </c>
      <c r="AB82" s="139" t="str">
        <f t="shared" si="24"/>
        <v/>
      </c>
      <c r="AC82" s="140" t="str">
        <f t="array" ref="AC82">IF(AB82="","",IFERROR(INDEX(HELPER!$D$8:$D$48,IF(AB82&gt;=HELPER!$B$8,1,MATCH(AB82,HELPER!$B$8:$B$48,-1)+1)),""))</f>
        <v/>
      </c>
      <c r="AD82" s="141" t="str">
        <f>IF(AC82="","",IFERROR(VLOOKUP(AC82,HELPER!$F$8:$G$48,2,FALSE),""))</f>
        <v/>
      </c>
      <c r="AE82" s="6"/>
      <c r="AF82" s="12"/>
    </row>
    <row r="83" ht="15.0" customHeight="1">
      <c r="A83" s="6"/>
      <c r="B83" s="201">
        <v>15.0</v>
      </c>
      <c r="C83" s="202" t="str">
        <f>IF('INPUT DATA'!N25="","",'INPUT DATA'!N25)</f>
        <v/>
      </c>
      <c r="D83" s="203"/>
      <c r="E83" s="204"/>
      <c r="F83" s="128"/>
      <c r="G83" s="129"/>
      <c r="H83" s="129"/>
      <c r="I83" s="129"/>
      <c r="J83" s="130"/>
      <c r="K83" s="132" t="str">
        <f t="shared" si="13"/>
        <v/>
      </c>
      <c r="L83" s="133" t="str">
        <f t="shared" si="14"/>
        <v/>
      </c>
      <c r="M83" s="134" t="str">
        <f t="shared" si="15"/>
        <v/>
      </c>
      <c r="N83" s="128"/>
      <c r="O83" s="129"/>
      <c r="P83" s="130"/>
      <c r="Q83" s="132" t="str">
        <f t="shared" si="16"/>
        <v/>
      </c>
      <c r="R83" s="133" t="str">
        <f t="shared" si="17"/>
        <v/>
      </c>
      <c r="S83" s="134" t="str">
        <f t="shared" si="18"/>
        <v/>
      </c>
      <c r="T83" s="128"/>
      <c r="U83" s="129"/>
      <c r="V83" s="130"/>
      <c r="W83" s="136" t="str">
        <f t="shared" si="19"/>
        <v/>
      </c>
      <c r="X83" s="133" t="str">
        <f t="shared" si="20"/>
        <v/>
      </c>
      <c r="Y83" s="134" t="str">
        <f t="shared" si="21"/>
        <v/>
      </c>
      <c r="Z83" s="137" t="str">
        <f t="shared" si="22"/>
        <v/>
      </c>
      <c r="AA83" s="138" t="str">
        <f t="shared" si="23"/>
        <v/>
      </c>
      <c r="AB83" s="139" t="str">
        <f t="shared" si="24"/>
        <v/>
      </c>
      <c r="AC83" s="140" t="str">
        <f t="array" ref="AC83">IF(AB83="","",IFERROR(INDEX(HELPER!$D$8:$D$48,IF(AB83&gt;=HELPER!$B$8,1,MATCH(AB83,HELPER!$B$8:$B$48,-1)+1)),""))</f>
        <v/>
      </c>
      <c r="AD83" s="141" t="str">
        <f>IF(AC83="","",IFERROR(VLOOKUP(AC83,HELPER!$F$8:$G$48,2,FALSE),""))</f>
        <v/>
      </c>
      <c r="AE83" s="6"/>
      <c r="AF83" s="12"/>
    </row>
    <row r="84" ht="15.0" customHeight="1">
      <c r="A84" s="6"/>
      <c r="B84" s="201">
        <v>16.0</v>
      </c>
      <c r="C84" s="202" t="str">
        <f>IF('INPUT DATA'!N26="","",'INPUT DATA'!N26)</f>
        <v/>
      </c>
      <c r="D84" s="203"/>
      <c r="E84" s="204"/>
      <c r="F84" s="128"/>
      <c r="G84" s="129"/>
      <c r="H84" s="129"/>
      <c r="I84" s="129"/>
      <c r="J84" s="130"/>
      <c r="K84" s="132" t="str">
        <f t="shared" si="13"/>
        <v/>
      </c>
      <c r="L84" s="133" t="str">
        <f t="shared" si="14"/>
        <v/>
      </c>
      <c r="M84" s="134" t="str">
        <f t="shared" si="15"/>
        <v/>
      </c>
      <c r="N84" s="128"/>
      <c r="O84" s="129"/>
      <c r="P84" s="130"/>
      <c r="Q84" s="132" t="str">
        <f t="shared" si="16"/>
        <v/>
      </c>
      <c r="R84" s="133" t="str">
        <f t="shared" si="17"/>
        <v/>
      </c>
      <c r="S84" s="134" t="str">
        <f t="shared" si="18"/>
        <v/>
      </c>
      <c r="T84" s="128"/>
      <c r="U84" s="129"/>
      <c r="V84" s="130"/>
      <c r="W84" s="136" t="str">
        <f t="shared" si="19"/>
        <v/>
      </c>
      <c r="X84" s="133" t="str">
        <f t="shared" si="20"/>
        <v/>
      </c>
      <c r="Y84" s="134" t="str">
        <f t="shared" si="21"/>
        <v/>
      </c>
      <c r="Z84" s="137" t="str">
        <f t="shared" si="22"/>
        <v/>
      </c>
      <c r="AA84" s="138" t="str">
        <f t="shared" si="23"/>
        <v/>
      </c>
      <c r="AB84" s="139" t="str">
        <f t="shared" si="24"/>
        <v/>
      </c>
      <c r="AC84" s="140" t="str">
        <f t="array" ref="AC84">IF(AB84="","",IFERROR(INDEX(HELPER!$D$8:$D$48,IF(AB84&gt;=HELPER!$B$8,1,MATCH(AB84,HELPER!$B$8:$B$48,-1)+1)),""))</f>
        <v/>
      </c>
      <c r="AD84" s="141" t="str">
        <f>IF(AC84="","",IFERROR(VLOOKUP(AC84,HELPER!$F$8:$G$48,2,FALSE),""))</f>
        <v/>
      </c>
      <c r="AE84" s="6"/>
      <c r="AF84" s="12"/>
    </row>
    <row r="85" ht="15.0" customHeight="1">
      <c r="A85" s="6"/>
      <c r="B85" s="201">
        <v>17.0</v>
      </c>
      <c r="C85" s="202" t="str">
        <f>IF('INPUT DATA'!N27="","",'INPUT DATA'!N27)</f>
        <v/>
      </c>
      <c r="D85" s="203"/>
      <c r="E85" s="204"/>
      <c r="F85" s="128"/>
      <c r="G85" s="129"/>
      <c r="H85" s="129"/>
      <c r="I85" s="129"/>
      <c r="J85" s="130"/>
      <c r="K85" s="132" t="str">
        <f t="shared" si="13"/>
        <v/>
      </c>
      <c r="L85" s="133" t="str">
        <f t="shared" si="14"/>
        <v/>
      </c>
      <c r="M85" s="134" t="str">
        <f t="shared" si="15"/>
        <v/>
      </c>
      <c r="N85" s="128"/>
      <c r="O85" s="129"/>
      <c r="P85" s="130"/>
      <c r="Q85" s="132" t="str">
        <f t="shared" si="16"/>
        <v/>
      </c>
      <c r="R85" s="133" t="str">
        <f t="shared" si="17"/>
        <v/>
      </c>
      <c r="S85" s="134" t="str">
        <f t="shared" si="18"/>
        <v/>
      </c>
      <c r="T85" s="128"/>
      <c r="U85" s="129"/>
      <c r="V85" s="130"/>
      <c r="W85" s="136" t="str">
        <f t="shared" si="19"/>
        <v/>
      </c>
      <c r="X85" s="133" t="str">
        <f t="shared" si="20"/>
        <v/>
      </c>
      <c r="Y85" s="134" t="str">
        <f t="shared" si="21"/>
        <v/>
      </c>
      <c r="Z85" s="137" t="str">
        <f t="shared" si="22"/>
        <v/>
      </c>
      <c r="AA85" s="138" t="str">
        <f t="shared" si="23"/>
        <v/>
      </c>
      <c r="AB85" s="139" t="str">
        <f t="shared" si="24"/>
        <v/>
      </c>
      <c r="AC85" s="140" t="str">
        <f t="array" ref="AC85">IF(AB85="","",IFERROR(INDEX(HELPER!$D$8:$D$48,IF(AB85&gt;=HELPER!$B$8,1,MATCH(AB85,HELPER!$B$8:$B$48,-1)+1)),""))</f>
        <v/>
      </c>
      <c r="AD85" s="141" t="str">
        <f>IF(AC85="","",IFERROR(VLOOKUP(AC85,HELPER!$F$8:$G$48,2,FALSE),""))</f>
        <v/>
      </c>
      <c r="AE85" s="6"/>
      <c r="AF85" s="12"/>
    </row>
    <row r="86" ht="15.0" customHeight="1">
      <c r="A86" s="6"/>
      <c r="B86" s="201">
        <v>18.0</v>
      </c>
      <c r="C86" s="202" t="str">
        <f>IF('INPUT DATA'!N28="","",'INPUT DATA'!N28)</f>
        <v/>
      </c>
      <c r="D86" s="203"/>
      <c r="E86" s="204"/>
      <c r="F86" s="128"/>
      <c r="G86" s="129"/>
      <c r="H86" s="129"/>
      <c r="I86" s="129"/>
      <c r="J86" s="130"/>
      <c r="K86" s="132" t="str">
        <f t="shared" si="13"/>
        <v/>
      </c>
      <c r="L86" s="133" t="str">
        <f t="shared" si="14"/>
        <v/>
      </c>
      <c r="M86" s="134" t="str">
        <f t="shared" si="15"/>
        <v/>
      </c>
      <c r="N86" s="128"/>
      <c r="O86" s="129"/>
      <c r="P86" s="130"/>
      <c r="Q86" s="132" t="str">
        <f t="shared" si="16"/>
        <v/>
      </c>
      <c r="R86" s="133" t="str">
        <f t="shared" si="17"/>
        <v/>
      </c>
      <c r="S86" s="134" t="str">
        <f t="shared" si="18"/>
        <v/>
      </c>
      <c r="T86" s="128"/>
      <c r="U86" s="129"/>
      <c r="V86" s="130"/>
      <c r="W86" s="136" t="str">
        <f t="shared" si="19"/>
        <v/>
      </c>
      <c r="X86" s="133" t="str">
        <f t="shared" si="20"/>
        <v/>
      </c>
      <c r="Y86" s="134" t="str">
        <f t="shared" si="21"/>
        <v/>
      </c>
      <c r="Z86" s="137" t="str">
        <f t="shared" si="22"/>
        <v/>
      </c>
      <c r="AA86" s="138" t="str">
        <f t="shared" si="23"/>
        <v/>
      </c>
      <c r="AB86" s="139" t="str">
        <f t="shared" si="24"/>
        <v/>
      </c>
      <c r="AC86" s="140" t="str">
        <f t="array" ref="AC86">IF(AB86="","",IFERROR(INDEX(HELPER!$D$8:$D$48,IF(AB86&gt;=HELPER!$B$8,1,MATCH(AB86,HELPER!$B$8:$B$48,-1)+1)),""))</f>
        <v/>
      </c>
      <c r="AD86" s="141" t="str">
        <f>IF(AC86="","",IFERROR(VLOOKUP(AC86,HELPER!$F$8:$G$48,2,FALSE),""))</f>
        <v/>
      </c>
      <c r="AE86" s="6"/>
      <c r="AF86" s="12"/>
    </row>
    <row r="87" ht="15.0" customHeight="1">
      <c r="A87" s="6"/>
      <c r="B87" s="201">
        <v>19.0</v>
      </c>
      <c r="C87" s="202" t="str">
        <f>IF('INPUT DATA'!N29="","",'INPUT DATA'!N29)</f>
        <v/>
      </c>
      <c r="D87" s="203"/>
      <c r="E87" s="204"/>
      <c r="F87" s="128"/>
      <c r="G87" s="129"/>
      <c r="H87" s="129"/>
      <c r="I87" s="129"/>
      <c r="J87" s="130"/>
      <c r="K87" s="132" t="str">
        <f t="shared" si="13"/>
        <v/>
      </c>
      <c r="L87" s="133" t="str">
        <f t="shared" si="14"/>
        <v/>
      </c>
      <c r="M87" s="134" t="str">
        <f t="shared" si="15"/>
        <v/>
      </c>
      <c r="N87" s="128"/>
      <c r="O87" s="129"/>
      <c r="P87" s="130"/>
      <c r="Q87" s="132" t="str">
        <f t="shared" si="16"/>
        <v/>
      </c>
      <c r="R87" s="133" t="str">
        <f t="shared" si="17"/>
        <v/>
      </c>
      <c r="S87" s="134" t="str">
        <f t="shared" si="18"/>
        <v/>
      </c>
      <c r="T87" s="128"/>
      <c r="U87" s="129"/>
      <c r="V87" s="130"/>
      <c r="W87" s="136" t="str">
        <f t="shared" si="19"/>
        <v/>
      </c>
      <c r="X87" s="133" t="str">
        <f t="shared" si="20"/>
        <v/>
      </c>
      <c r="Y87" s="134" t="str">
        <f t="shared" si="21"/>
        <v/>
      </c>
      <c r="Z87" s="137" t="str">
        <f t="shared" si="22"/>
        <v/>
      </c>
      <c r="AA87" s="138" t="str">
        <f t="shared" si="23"/>
        <v/>
      </c>
      <c r="AB87" s="139" t="str">
        <f t="shared" si="24"/>
        <v/>
      </c>
      <c r="AC87" s="140" t="str">
        <f t="array" ref="AC87">IF(AB87="","",IFERROR(INDEX(HELPER!$D$8:$D$48,IF(AB87&gt;=HELPER!$B$8,1,MATCH(AB87,HELPER!$B$8:$B$48,-1)+1)),""))</f>
        <v/>
      </c>
      <c r="AD87" s="141" t="str">
        <f>IF(AC87="","",IFERROR(VLOOKUP(AC87,HELPER!$F$8:$G$48,2,FALSE),""))</f>
        <v/>
      </c>
      <c r="AE87" s="6"/>
      <c r="AF87" s="12"/>
    </row>
    <row r="88" ht="15.0" customHeight="1">
      <c r="A88" s="6"/>
      <c r="B88" s="214">
        <v>20.0</v>
      </c>
      <c r="C88" s="202" t="str">
        <f>IF('INPUT DATA'!N30="","",'INPUT DATA'!N30)</f>
        <v/>
      </c>
      <c r="D88" s="203"/>
      <c r="E88" s="204"/>
      <c r="F88" s="128"/>
      <c r="G88" s="129"/>
      <c r="H88" s="129"/>
      <c r="I88" s="129"/>
      <c r="J88" s="130"/>
      <c r="K88" s="132" t="str">
        <f t="shared" si="13"/>
        <v/>
      </c>
      <c r="L88" s="133" t="str">
        <f t="shared" si="14"/>
        <v/>
      </c>
      <c r="M88" s="134" t="str">
        <f t="shared" si="15"/>
        <v/>
      </c>
      <c r="N88" s="128"/>
      <c r="O88" s="129"/>
      <c r="P88" s="130"/>
      <c r="Q88" s="132" t="str">
        <f t="shared" si="16"/>
        <v/>
      </c>
      <c r="R88" s="133" t="str">
        <f t="shared" si="17"/>
        <v/>
      </c>
      <c r="S88" s="134" t="str">
        <f t="shared" si="18"/>
        <v/>
      </c>
      <c r="T88" s="128"/>
      <c r="U88" s="129"/>
      <c r="V88" s="130"/>
      <c r="W88" s="136" t="str">
        <f t="shared" si="19"/>
        <v/>
      </c>
      <c r="X88" s="133" t="str">
        <f t="shared" si="20"/>
        <v/>
      </c>
      <c r="Y88" s="134" t="str">
        <f t="shared" si="21"/>
        <v/>
      </c>
      <c r="Z88" s="137" t="str">
        <f t="shared" si="22"/>
        <v/>
      </c>
      <c r="AA88" s="138" t="str">
        <f t="shared" si="23"/>
        <v/>
      </c>
      <c r="AB88" s="139" t="str">
        <f t="shared" si="24"/>
        <v/>
      </c>
      <c r="AC88" s="140" t="str">
        <f t="array" ref="AC88">IF(AB88="","",IFERROR(INDEX(HELPER!$D$8:$D$48,IF(AB88&gt;=HELPER!$B$8,1,MATCH(AB88,HELPER!$B$8:$B$48,-1)+1)),""))</f>
        <v/>
      </c>
      <c r="AD88" s="141" t="str">
        <f>IF(AC88="","",IFERROR(VLOOKUP(AC88,HELPER!$F$8:$G$48,2,FALSE),""))</f>
        <v/>
      </c>
      <c r="AE88" s="6"/>
      <c r="AF88" s="12"/>
    </row>
    <row r="89" ht="15.0" customHeight="1">
      <c r="A89" s="6"/>
      <c r="B89" s="214">
        <v>21.0</v>
      </c>
      <c r="C89" s="202" t="str">
        <f>IF('INPUT DATA'!N31="","",'INPUT DATA'!N31)</f>
        <v/>
      </c>
      <c r="D89" s="203"/>
      <c r="E89" s="204"/>
      <c r="F89" s="128"/>
      <c r="G89" s="129"/>
      <c r="H89" s="129"/>
      <c r="I89" s="129"/>
      <c r="J89" s="130"/>
      <c r="K89" s="132" t="str">
        <f t="shared" si="13"/>
        <v/>
      </c>
      <c r="L89" s="133" t="str">
        <f t="shared" si="14"/>
        <v/>
      </c>
      <c r="M89" s="134" t="str">
        <f t="shared" si="15"/>
        <v/>
      </c>
      <c r="N89" s="128"/>
      <c r="O89" s="129"/>
      <c r="P89" s="130"/>
      <c r="Q89" s="132" t="str">
        <f t="shared" si="16"/>
        <v/>
      </c>
      <c r="R89" s="133" t="str">
        <f t="shared" si="17"/>
        <v/>
      </c>
      <c r="S89" s="134" t="str">
        <f t="shared" si="18"/>
        <v/>
      </c>
      <c r="T89" s="128"/>
      <c r="U89" s="129"/>
      <c r="V89" s="130"/>
      <c r="W89" s="136" t="str">
        <f t="shared" si="19"/>
        <v/>
      </c>
      <c r="X89" s="133" t="str">
        <f t="shared" si="20"/>
        <v/>
      </c>
      <c r="Y89" s="134" t="str">
        <f t="shared" si="21"/>
        <v/>
      </c>
      <c r="Z89" s="137" t="str">
        <f t="shared" si="22"/>
        <v/>
      </c>
      <c r="AA89" s="138" t="str">
        <f t="shared" si="23"/>
        <v/>
      </c>
      <c r="AB89" s="139" t="str">
        <f t="shared" si="24"/>
        <v/>
      </c>
      <c r="AC89" s="140" t="str">
        <f t="array" ref="AC89">IF(AB89="","",IFERROR(INDEX(HELPER!$D$8:$D$48,IF(AB89&gt;=HELPER!$B$8,1,MATCH(AB89,HELPER!$B$8:$B$48,-1)+1)),""))</f>
        <v/>
      </c>
      <c r="AD89" s="141" t="str">
        <f>IF(AC89="","",IFERROR(VLOOKUP(AC89,HELPER!$F$8:$G$48,2,FALSE),""))</f>
        <v/>
      </c>
      <c r="AE89" s="6"/>
      <c r="AF89" s="12"/>
    </row>
    <row r="90" ht="15.0" customHeight="1">
      <c r="A90" s="6"/>
      <c r="B90" s="214">
        <v>22.0</v>
      </c>
      <c r="C90" s="202" t="str">
        <f>IF('INPUT DATA'!N32="","",'INPUT DATA'!N32)</f>
        <v/>
      </c>
      <c r="D90" s="203"/>
      <c r="E90" s="204"/>
      <c r="F90" s="128"/>
      <c r="G90" s="129"/>
      <c r="H90" s="129"/>
      <c r="I90" s="129"/>
      <c r="J90" s="130"/>
      <c r="K90" s="132" t="str">
        <f t="shared" si="13"/>
        <v/>
      </c>
      <c r="L90" s="133" t="str">
        <f t="shared" si="14"/>
        <v/>
      </c>
      <c r="M90" s="134" t="str">
        <f t="shared" si="15"/>
        <v/>
      </c>
      <c r="N90" s="128"/>
      <c r="O90" s="129"/>
      <c r="P90" s="130"/>
      <c r="Q90" s="132" t="str">
        <f t="shared" si="16"/>
        <v/>
      </c>
      <c r="R90" s="133" t="str">
        <f t="shared" si="17"/>
        <v/>
      </c>
      <c r="S90" s="134" t="str">
        <f t="shared" si="18"/>
        <v/>
      </c>
      <c r="T90" s="128"/>
      <c r="U90" s="129"/>
      <c r="V90" s="130"/>
      <c r="W90" s="136" t="str">
        <f t="shared" si="19"/>
        <v/>
      </c>
      <c r="X90" s="133" t="str">
        <f t="shared" si="20"/>
        <v/>
      </c>
      <c r="Y90" s="134" t="str">
        <f t="shared" si="21"/>
        <v/>
      </c>
      <c r="Z90" s="137" t="str">
        <f t="shared" si="22"/>
        <v/>
      </c>
      <c r="AA90" s="138" t="str">
        <f t="shared" si="23"/>
        <v/>
      </c>
      <c r="AB90" s="139" t="str">
        <f t="shared" si="24"/>
        <v/>
      </c>
      <c r="AC90" s="140" t="str">
        <f t="array" ref="AC90">IF(AB90="","",IFERROR(INDEX(HELPER!$D$8:$D$48,IF(AB90&gt;=HELPER!$B$8,1,MATCH(AB90,HELPER!$B$8:$B$48,-1)+1)),""))</f>
        <v/>
      </c>
      <c r="AD90" s="141" t="str">
        <f>IF(AC90="","",IFERROR(VLOOKUP(AC90,HELPER!$F$8:$G$48,2,FALSE),""))</f>
        <v/>
      </c>
      <c r="AE90" s="6"/>
      <c r="AF90" s="12"/>
    </row>
    <row r="91" ht="15.0" customHeight="1">
      <c r="A91" s="6"/>
      <c r="B91" s="214">
        <v>23.0</v>
      </c>
      <c r="C91" s="202" t="str">
        <f>IF('INPUT DATA'!N33="","",'INPUT DATA'!N33)</f>
        <v/>
      </c>
      <c r="D91" s="203"/>
      <c r="E91" s="204"/>
      <c r="F91" s="128"/>
      <c r="G91" s="129"/>
      <c r="H91" s="129"/>
      <c r="I91" s="129"/>
      <c r="J91" s="130"/>
      <c r="K91" s="132" t="str">
        <f t="shared" si="13"/>
        <v/>
      </c>
      <c r="L91" s="133" t="str">
        <f t="shared" si="14"/>
        <v/>
      </c>
      <c r="M91" s="134" t="str">
        <f t="shared" si="15"/>
        <v/>
      </c>
      <c r="N91" s="128"/>
      <c r="O91" s="129"/>
      <c r="P91" s="130"/>
      <c r="Q91" s="132" t="str">
        <f t="shared" si="16"/>
        <v/>
      </c>
      <c r="R91" s="133" t="str">
        <f t="shared" si="17"/>
        <v/>
      </c>
      <c r="S91" s="134" t="str">
        <f t="shared" si="18"/>
        <v/>
      </c>
      <c r="T91" s="128"/>
      <c r="U91" s="129"/>
      <c r="V91" s="130"/>
      <c r="W91" s="136" t="str">
        <f t="shared" si="19"/>
        <v/>
      </c>
      <c r="X91" s="133" t="str">
        <f t="shared" si="20"/>
        <v/>
      </c>
      <c r="Y91" s="134" t="str">
        <f t="shared" si="21"/>
        <v/>
      </c>
      <c r="Z91" s="137" t="str">
        <f t="shared" si="22"/>
        <v/>
      </c>
      <c r="AA91" s="138" t="str">
        <f t="shared" si="23"/>
        <v/>
      </c>
      <c r="AB91" s="139" t="str">
        <f t="shared" si="24"/>
        <v/>
      </c>
      <c r="AC91" s="140" t="str">
        <f t="array" ref="AC91">IF(AB91="","",IFERROR(INDEX(HELPER!$D$8:$D$48,IF(AB91&gt;=HELPER!$B$8,1,MATCH(AB91,HELPER!$B$8:$B$48,-1)+1)),""))</f>
        <v/>
      </c>
      <c r="AD91" s="141" t="str">
        <f>IF(AC91="","",IFERROR(VLOOKUP(AC91,HELPER!$F$8:$G$48,2,FALSE),""))</f>
        <v/>
      </c>
      <c r="AE91" s="6"/>
      <c r="AF91" s="12"/>
    </row>
    <row r="92" ht="15.0" customHeight="1">
      <c r="A92" s="6"/>
      <c r="B92" s="214">
        <v>24.0</v>
      </c>
      <c r="C92" s="202" t="str">
        <f>IF('INPUT DATA'!N34="","",'INPUT DATA'!N34)</f>
        <v/>
      </c>
      <c r="D92" s="203"/>
      <c r="E92" s="204"/>
      <c r="F92" s="128"/>
      <c r="G92" s="129"/>
      <c r="H92" s="129"/>
      <c r="I92" s="129"/>
      <c r="J92" s="130"/>
      <c r="K92" s="132" t="str">
        <f t="shared" si="13"/>
        <v/>
      </c>
      <c r="L92" s="133" t="str">
        <f t="shared" si="14"/>
        <v/>
      </c>
      <c r="M92" s="134" t="str">
        <f t="shared" si="15"/>
        <v/>
      </c>
      <c r="N92" s="128"/>
      <c r="O92" s="129"/>
      <c r="P92" s="130"/>
      <c r="Q92" s="132" t="str">
        <f t="shared" si="16"/>
        <v/>
      </c>
      <c r="R92" s="133" t="str">
        <f t="shared" si="17"/>
        <v/>
      </c>
      <c r="S92" s="134" t="str">
        <f t="shared" si="18"/>
        <v/>
      </c>
      <c r="T92" s="128"/>
      <c r="U92" s="129"/>
      <c r="V92" s="130"/>
      <c r="W92" s="136" t="str">
        <f t="shared" si="19"/>
        <v/>
      </c>
      <c r="X92" s="133" t="str">
        <f t="shared" si="20"/>
        <v/>
      </c>
      <c r="Y92" s="134" t="str">
        <f t="shared" si="21"/>
        <v/>
      </c>
      <c r="Z92" s="137" t="str">
        <f t="shared" si="22"/>
        <v/>
      </c>
      <c r="AA92" s="138" t="str">
        <f t="shared" si="23"/>
        <v/>
      </c>
      <c r="AB92" s="139" t="str">
        <f t="shared" si="24"/>
        <v/>
      </c>
      <c r="AC92" s="140" t="str">
        <f t="array" ref="AC92">IF(AB92="","",IFERROR(INDEX(HELPER!$D$8:$D$48,IF(AB92&gt;=HELPER!$B$8,1,MATCH(AB92,HELPER!$B$8:$B$48,-1)+1)),""))</f>
        <v/>
      </c>
      <c r="AD92" s="141" t="str">
        <f>IF(AC92="","",IFERROR(VLOOKUP(AC92,HELPER!$F$8:$G$48,2,FALSE),""))</f>
        <v/>
      </c>
      <c r="AE92" s="6"/>
      <c r="AF92" s="12"/>
    </row>
    <row r="93" ht="15.0" customHeight="1">
      <c r="A93" s="6"/>
      <c r="B93" s="214">
        <v>25.0</v>
      </c>
      <c r="C93" s="202" t="str">
        <f>IF('INPUT DATA'!N35="","",'INPUT DATA'!N35)</f>
        <v/>
      </c>
      <c r="D93" s="203"/>
      <c r="E93" s="204"/>
      <c r="F93" s="128"/>
      <c r="G93" s="129"/>
      <c r="H93" s="129"/>
      <c r="I93" s="129"/>
      <c r="J93" s="130"/>
      <c r="K93" s="132" t="str">
        <f t="shared" si="13"/>
        <v/>
      </c>
      <c r="L93" s="133" t="str">
        <f t="shared" si="14"/>
        <v/>
      </c>
      <c r="M93" s="134" t="str">
        <f t="shared" si="15"/>
        <v/>
      </c>
      <c r="N93" s="128"/>
      <c r="O93" s="129"/>
      <c r="P93" s="130"/>
      <c r="Q93" s="132" t="str">
        <f t="shared" si="16"/>
        <v/>
      </c>
      <c r="R93" s="133" t="str">
        <f t="shared" si="17"/>
        <v/>
      </c>
      <c r="S93" s="134" t="str">
        <f t="shared" si="18"/>
        <v/>
      </c>
      <c r="T93" s="128"/>
      <c r="U93" s="129"/>
      <c r="V93" s="130"/>
      <c r="W93" s="136" t="str">
        <f t="shared" si="19"/>
        <v/>
      </c>
      <c r="X93" s="133" t="str">
        <f t="shared" si="20"/>
        <v/>
      </c>
      <c r="Y93" s="134" t="str">
        <f t="shared" si="21"/>
        <v/>
      </c>
      <c r="Z93" s="137" t="str">
        <f t="shared" si="22"/>
        <v/>
      </c>
      <c r="AA93" s="138" t="str">
        <f t="shared" si="23"/>
        <v/>
      </c>
      <c r="AB93" s="139" t="str">
        <f t="shared" si="24"/>
        <v/>
      </c>
      <c r="AC93" s="140" t="str">
        <f t="array" ref="AC93">IF(AB93="","",IFERROR(INDEX(HELPER!$D$8:$D$48,IF(AB93&gt;=HELPER!$B$8,1,MATCH(AB93,HELPER!$B$8:$B$48,-1)+1)),""))</f>
        <v/>
      </c>
      <c r="AD93" s="141" t="str">
        <f>IF(AC93="","",IFERROR(VLOOKUP(AC93,HELPER!$F$8:$G$48,2,FALSE),""))</f>
        <v/>
      </c>
      <c r="AE93" s="6"/>
      <c r="AF93" s="12"/>
    </row>
    <row r="94" ht="15.0" customHeight="1">
      <c r="A94" s="6"/>
      <c r="B94" s="214">
        <v>26.0</v>
      </c>
      <c r="C94" s="202" t="str">
        <f>IF('INPUT DATA'!N36="","",'INPUT DATA'!N36)</f>
        <v/>
      </c>
      <c r="D94" s="203"/>
      <c r="E94" s="204"/>
      <c r="F94" s="128"/>
      <c r="G94" s="129"/>
      <c r="H94" s="129"/>
      <c r="I94" s="129"/>
      <c r="J94" s="130"/>
      <c r="K94" s="132" t="str">
        <f t="shared" si="13"/>
        <v/>
      </c>
      <c r="L94" s="133" t="str">
        <f t="shared" si="14"/>
        <v/>
      </c>
      <c r="M94" s="134" t="str">
        <f t="shared" si="15"/>
        <v/>
      </c>
      <c r="N94" s="128"/>
      <c r="O94" s="129"/>
      <c r="P94" s="130"/>
      <c r="Q94" s="132" t="str">
        <f t="shared" si="16"/>
        <v/>
      </c>
      <c r="R94" s="133" t="str">
        <f t="shared" si="17"/>
        <v/>
      </c>
      <c r="S94" s="134" t="str">
        <f t="shared" si="18"/>
        <v/>
      </c>
      <c r="T94" s="128"/>
      <c r="U94" s="129"/>
      <c r="V94" s="130"/>
      <c r="W94" s="136" t="str">
        <f t="shared" si="19"/>
        <v/>
      </c>
      <c r="X94" s="133" t="str">
        <f t="shared" si="20"/>
        <v/>
      </c>
      <c r="Y94" s="134" t="str">
        <f t="shared" si="21"/>
        <v/>
      </c>
      <c r="Z94" s="137" t="str">
        <f t="shared" si="22"/>
        <v/>
      </c>
      <c r="AA94" s="138" t="str">
        <f t="shared" si="23"/>
        <v/>
      </c>
      <c r="AB94" s="139" t="str">
        <f t="shared" si="24"/>
        <v/>
      </c>
      <c r="AC94" s="140" t="str">
        <f t="array" ref="AC94">IF(AB94="","",IFERROR(INDEX(HELPER!$D$8:$D$48,IF(AB94&gt;=HELPER!$B$8,1,MATCH(AB94,HELPER!$B$8:$B$48,-1)+1)),""))</f>
        <v/>
      </c>
      <c r="AD94" s="141" t="str">
        <f>IF(AC94="","",IFERROR(VLOOKUP(AC94,HELPER!$F$8:$G$48,2,FALSE),""))</f>
        <v/>
      </c>
      <c r="AE94" s="6"/>
      <c r="AF94" s="12"/>
    </row>
    <row r="95" ht="15.0" customHeight="1">
      <c r="A95" s="6"/>
      <c r="B95" s="214">
        <v>27.0</v>
      </c>
      <c r="C95" s="202" t="str">
        <f>IF('INPUT DATA'!N37="","",'INPUT DATA'!N37)</f>
        <v/>
      </c>
      <c r="D95" s="203"/>
      <c r="E95" s="204"/>
      <c r="F95" s="128"/>
      <c r="G95" s="129"/>
      <c r="H95" s="129"/>
      <c r="I95" s="129"/>
      <c r="J95" s="130"/>
      <c r="K95" s="132" t="str">
        <f t="shared" si="13"/>
        <v/>
      </c>
      <c r="L95" s="133" t="str">
        <f t="shared" si="14"/>
        <v/>
      </c>
      <c r="M95" s="134" t="str">
        <f t="shared" si="15"/>
        <v/>
      </c>
      <c r="N95" s="128"/>
      <c r="O95" s="129"/>
      <c r="P95" s="130"/>
      <c r="Q95" s="132" t="str">
        <f t="shared" si="16"/>
        <v/>
      </c>
      <c r="R95" s="133" t="str">
        <f t="shared" si="17"/>
        <v/>
      </c>
      <c r="S95" s="134" t="str">
        <f t="shared" si="18"/>
        <v/>
      </c>
      <c r="T95" s="128"/>
      <c r="U95" s="129"/>
      <c r="V95" s="130"/>
      <c r="W95" s="136" t="str">
        <f t="shared" si="19"/>
        <v/>
      </c>
      <c r="X95" s="133" t="str">
        <f t="shared" si="20"/>
        <v/>
      </c>
      <c r="Y95" s="134" t="str">
        <f t="shared" si="21"/>
        <v/>
      </c>
      <c r="Z95" s="137" t="str">
        <f t="shared" si="22"/>
        <v/>
      </c>
      <c r="AA95" s="138" t="str">
        <f t="shared" si="23"/>
        <v/>
      </c>
      <c r="AB95" s="139" t="str">
        <f t="shared" si="24"/>
        <v/>
      </c>
      <c r="AC95" s="140" t="str">
        <f t="array" ref="AC95">IF(AB95="","",IFERROR(INDEX(HELPER!$D$8:$D$48,IF(AB95&gt;=HELPER!$B$8,1,MATCH(AB95,HELPER!$B$8:$B$48,-1)+1)),""))</f>
        <v/>
      </c>
      <c r="AD95" s="141" t="str">
        <f>IF(AC95="","",IFERROR(VLOOKUP(AC95,HELPER!$F$8:$G$48,2,FALSE),""))</f>
        <v/>
      </c>
      <c r="AE95" s="6"/>
      <c r="AF95" s="12"/>
    </row>
    <row r="96" ht="15.0" customHeight="1">
      <c r="A96" s="6"/>
      <c r="B96" s="214">
        <v>28.0</v>
      </c>
      <c r="C96" s="202" t="str">
        <f>IF('INPUT DATA'!N38="","",'INPUT DATA'!N38)</f>
        <v/>
      </c>
      <c r="D96" s="203"/>
      <c r="E96" s="204"/>
      <c r="F96" s="128"/>
      <c r="G96" s="129"/>
      <c r="H96" s="129"/>
      <c r="I96" s="129"/>
      <c r="J96" s="130"/>
      <c r="K96" s="132" t="str">
        <f t="shared" si="13"/>
        <v/>
      </c>
      <c r="L96" s="133" t="str">
        <f t="shared" si="14"/>
        <v/>
      </c>
      <c r="M96" s="134" t="str">
        <f t="shared" si="15"/>
        <v/>
      </c>
      <c r="N96" s="128"/>
      <c r="O96" s="129"/>
      <c r="P96" s="130"/>
      <c r="Q96" s="132" t="str">
        <f t="shared" si="16"/>
        <v/>
      </c>
      <c r="R96" s="133" t="str">
        <f t="shared" si="17"/>
        <v/>
      </c>
      <c r="S96" s="134" t="str">
        <f t="shared" si="18"/>
        <v/>
      </c>
      <c r="T96" s="128"/>
      <c r="U96" s="129"/>
      <c r="V96" s="130"/>
      <c r="W96" s="136" t="str">
        <f t="shared" si="19"/>
        <v/>
      </c>
      <c r="X96" s="133" t="str">
        <f t="shared" si="20"/>
        <v/>
      </c>
      <c r="Y96" s="134" t="str">
        <f t="shared" si="21"/>
        <v/>
      </c>
      <c r="Z96" s="137" t="str">
        <f t="shared" si="22"/>
        <v/>
      </c>
      <c r="AA96" s="138" t="str">
        <f t="shared" si="23"/>
        <v/>
      </c>
      <c r="AB96" s="139" t="str">
        <f t="shared" si="24"/>
        <v/>
      </c>
      <c r="AC96" s="140" t="str">
        <f t="array" ref="AC96">IF(AB96="","",IFERROR(INDEX(HELPER!$D$8:$D$48,IF(AB96&gt;=HELPER!$B$8,1,MATCH(AB96,HELPER!$B$8:$B$48,-1)+1)),""))</f>
        <v/>
      </c>
      <c r="AD96" s="141" t="str">
        <f>IF(AC96="","",IFERROR(VLOOKUP(AC96,HELPER!$F$8:$G$48,2,FALSE),""))</f>
        <v/>
      </c>
      <c r="AE96" s="6"/>
      <c r="AF96" s="12"/>
    </row>
    <row r="97" ht="15.0" customHeight="1">
      <c r="A97" s="6"/>
      <c r="B97" s="214">
        <v>29.0</v>
      </c>
      <c r="C97" s="202" t="str">
        <f>IF('INPUT DATA'!N39="","",'INPUT DATA'!N39)</f>
        <v/>
      </c>
      <c r="D97" s="203"/>
      <c r="E97" s="204"/>
      <c r="F97" s="128"/>
      <c r="G97" s="129"/>
      <c r="H97" s="129"/>
      <c r="I97" s="129"/>
      <c r="J97" s="130"/>
      <c r="K97" s="132" t="str">
        <f t="shared" si="13"/>
        <v/>
      </c>
      <c r="L97" s="133" t="str">
        <f t="shared" si="14"/>
        <v/>
      </c>
      <c r="M97" s="134" t="str">
        <f t="shared" si="15"/>
        <v/>
      </c>
      <c r="N97" s="128"/>
      <c r="O97" s="129"/>
      <c r="P97" s="130"/>
      <c r="Q97" s="132" t="str">
        <f t="shared" si="16"/>
        <v/>
      </c>
      <c r="R97" s="133" t="str">
        <f t="shared" si="17"/>
        <v/>
      </c>
      <c r="S97" s="134" t="str">
        <f t="shared" si="18"/>
        <v/>
      </c>
      <c r="T97" s="128"/>
      <c r="U97" s="129"/>
      <c r="V97" s="130"/>
      <c r="W97" s="136" t="str">
        <f t="shared" si="19"/>
        <v/>
      </c>
      <c r="X97" s="133" t="str">
        <f t="shared" si="20"/>
        <v/>
      </c>
      <c r="Y97" s="134" t="str">
        <f t="shared" si="21"/>
        <v/>
      </c>
      <c r="Z97" s="137" t="str">
        <f t="shared" si="22"/>
        <v/>
      </c>
      <c r="AA97" s="138" t="str">
        <f t="shared" si="23"/>
        <v/>
      </c>
      <c r="AB97" s="139" t="str">
        <f t="shared" si="24"/>
        <v/>
      </c>
      <c r="AC97" s="140" t="str">
        <f t="array" ref="AC97">IF(AB97="","",IFERROR(INDEX(HELPER!$D$8:$D$48,IF(AB97&gt;=HELPER!$B$8,1,MATCH(AB97,HELPER!$B$8:$B$48,-1)+1)),""))</f>
        <v/>
      </c>
      <c r="AD97" s="141" t="str">
        <f>IF(AC97="","",IFERROR(VLOOKUP(AC97,HELPER!$F$8:$G$48,2,FALSE),""))</f>
        <v/>
      </c>
      <c r="AE97" s="6"/>
      <c r="AF97" s="12"/>
    </row>
    <row r="98" ht="15.0" customHeight="1">
      <c r="A98" s="6"/>
      <c r="B98" s="214">
        <v>30.0</v>
      </c>
      <c r="C98" s="202" t="str">
        <f>IF('INPUT DATA'!N40="","",'INPUT DATA'!N40)</f>
        <v/>
      </c>
      <c r="D98" s="203"/>
      <c r="E98" s="204"/>
      <c r="F98" s="128"/>
      <c r="G98" s="129"/>
      <c r="H98" s="129"/>
      <c r="I98" s="129"/>
      <c r="J98" s="130"/>
      <c r="K98" s="132" t="str">
        <f t="shared" si="13"/>
        <v/>
      </c>
      <c r="L98" s="133" t="str">
        <f t="shared" si="14"/>
        <v/>
      </c>
      <c r="M98" s="134" t="str">
        <f t="shared" si="15"/>
        <v/>
      </c>
      <c r="N98" s="128"/>
      <c r="O98" s="129"/>
      <c r="P98" s="130"/>
      <c r="Q98" s="132" t="str">
        <f t="shared" si="16"/>
        <v/>
      </c>
      <c r="R98" s="133" t="str">
        <f t="shared" si="17"/>
        <v/>
      </c>
      <c r="S98" s="134" t="str">
        <f t="shared" si="18"/>
        <v/>
      </c>
      <c r="T98" s="128"/>
      <c r="U98" s="129"/>
      <c r="V98" s="130"/>
      <c r="W98" s="136" t="str">
        <f t="shared" si="19"/>
        <v/>
      </c>
      <c r="X98" s="133" t="str">
        <f t="shared" si="20"/>
        <v/>
      </c>
      <c r="Y98" s="134" t="str">
        <f t="shared" si="21"/>
        <v/>
      </c>
      <c r="Z98" s="137" t="str">
        <f t="shared" si="22"/>
        <v/>
      </c>
      <c r="AA98" s="138" t="str">
        <f t="shared" si="23"/>
        <v/>
      </c>
      <c r="AB98" s="139" t="str">
        <f t="shared" si="24"/>
        <v/>
      </c>
      <c r="AC98" s="140" t="str">
        <f t="array" ref="AC98">IF(AB98="","",IFERROR(INDEX(HELPER!$D$8:$D$48,IF(AB98&gt;=HELPER!$B$8,1,MATCH(AB98,HELPER!$B$8:$B$48,-1)+1)),""))</f>
        <v/>
      </c>
      <c r="AD98" s="141" t="str">
        <f>IF(AC98="","",IFERROR(VLOOKUP(AC98,HELPER!$F$8:$G$48,2,FALSE),""))</f>
        <v/>
      </c>
      <c r="AE98" s="6"/>
      <c r="AF98" s="12"/>
    </row>
    <row r="99" ht="15.0" customHeight="1">
      <c r="A99" s="6"/>
      <c r="B99" s="214">
        <v>31.0</v>
      </c>
      <c r="C99" s="202" t="str">
        <f>IF('INPUT DATA'!N41="","",'INPUT DATA'!N41)</f>
        <v/>
      </c>
      <c r="D99" s="203"/>
      <c r="E99" s="204"/>
      <c r="F99" s="128"/>
      <c r="G99" s="129"/>
      <c r="H99" s="129"/>
      <c r="I99" s="129"/>
      <c r="J99" s="130"/>
      <c r="K99" s="132" t="str">
        <f t="shared" si="13"/>
        <v/>
      </c>
      <c r="L99" s="133" t="str">
        <f t="shared" si="14"/>
        <v/>
      </c>
      <c r="M99" s="134" t="str">
        <f t="shared" si="15"/>
        <v/>
      </c>
      <c r="N99" s="128"/>
      <c r="O99" s="129"/>
      <c r="P99" s="130"/>
      <c r="Q99" s="132" t="str">
        <f t="shared" si="16"/>
        <v/>
      </c>
      <c r="R99" s="133" t="str">
        <f t="shared" si="17"/>
        <v/>
      </c>
      <c r="S99" s="134" t="str">
        <f t="shared" si="18"/>
        <v/>
      </c>
      <c r="T99" s="128"/>
      <c r="U99" s="129"/>
      <c r="V99" s="130"/>
      <c r="W99" s="136" t="str">
        <f t="shared" si="19"/>
        <v/>
      </c>
      <c r="X99" s="133" t="str">
        <f t="shared" si="20"/>
        <v/>
      </c>
      <c r="Y99" s="134" t="str">
        <f t="shared" si="21"/>
        <v/>
      </c>
      <c r="Z99" s="137" t="str">
        <f t="shared" si="22"/>
        <v/>
      </c>
      <c r="AA99" s="138" t="str">
        <f t="shared" si="23"/>
        <v/>
      </c>
      <c r="AB99" s="139" t="str">
        <f t="shared" si="24"/>
        <v/>
      </c>
      <c r="AC99" s="140" t="str">
        <f t="array" ref="AC99">IF(AB99="","",IFERROR(INDEX(HELPER!$D$8:$D$48,IF(AB99&gt;=HELPER!$B$8,1,MATCH(AB99,HELPER!$B$8:$B$48,-1)+1)),""))</f>
        <v/>
      </c>
      <c r="AD99" s="141" t="str">
        <f>IF(AC99="","",IFERROR(VLOOKUP(AC99,HELPER!$F$8:$G$48,2,FALSE),""))</f>
        <v/>
      </c>
      <c r="AE99" s="6"/>
      <c r="AF99" s="12"/>
    </row>
    <row r="100" ht="15.0" customHeight="1">
      <c r="A100" s="6"/>
      <c r="B100" s="214">
        <v>32.0</v>
      </c>
      <c r="C100" s="202" t="str">
        <f>IF('INPUT DATA'!N42="","",'INPUT DATA'!N42)</f>
        <v/>
      </c>
      <c r="D100" s="203"/>
      <c r="E100" s="204"/>
      <c r="F100" s="128"/>
      <c r="G100" s="129"/>
      <c r="H100" s="129"/>
      <c r="I100" s="129"/>
      <c r="J100" s="130"/>
      <c r="K100" s="132" t="str">
        <f t="shared" si="13"/>
        <v/>
      </c>
      <c r="L100" s="133" t="str">
        <f t="shared" si="14"/>
        <v/>
      </c>
      <c r="M100" s="134" t="str">
        <f t="shared" si="15"/>
        <v/>
      </c>
      <c r="N100" s="128"/>
      <c r="O100" s="129"/>
      <c r="P100" s="130"/>
      <c r="Q100" s="132" t="str">
        <f t="shared" si="16"/>
        <v/>
      </c>
      <c r="R100" s="133" t="str">
        <f t="shared" si="17"/>
        <v/>
      </c>
      <c r="S100" s="134" t="str">
        <f t="shared" si="18"/>
        <v/>
      </c>
      <c r="T100" s="128"/>
      <c r="U100" s="129"/>
      <c r="V100" s="130"/>
      <c r="W100" s="136" t="str">
        <f t="shared" si="19"/>
        <v/>
      </c>
      <c r="X100" s="133" t="str">
        <f t="shared" si="20"/>
        <v/>
      </c>
      <c r="Y100" s="134" t="str">
        <f t="shared" si="21"/>
        <v/>
      </c>
      <c r="Z100" s="137" t="str">
        <f t="shared" si="22"/>
        <v/>
      </c>
      <c r="AA100" s="138" t="str">
        <f t="shared" si="23"/>
        <v/>
      </c>
      <c r="AB100" s="139" t="str">
        <f t="shared" si="24"/>
        <v/>
      </c>
      <c r="AC100" s="140" t="str">
        <f t="array" ref="AC100">IF(AB100="","",IFERROR(INDEX(HELPER!$D$8:$D$48,IF(AB100&gt;=HELPER!$B$8,1,MATCH(AB100,HELPER!$B$8:$B$48,-1)+1)),""))</f>
        <v/>
      </c>
      <c r="AD100" s="141" t="str">
        <f>IF(AC100="","",IFERROR(VLOOKUP(AC100,HELPER!$F$8:$G$48,2,FALSE),""))</f>
        <v/>
      </c>
      <c r="AE100" s="6"/>
      <c r="AF100" s="12"/>
    </row>
    <row r="101" ht="15.0" customHeight="1">
      <c r="A101" s="6"/>
      <c r="B101" s="214">
        <v>33.0</v>
      </c>
      <c r="C101" s="202" t="str">
        <f>IF('INPUT DATA'!N43="","",'INPUT DATA'!N43)</f>
        <v/>
      </c>
      <c r="D101" s="203"/>
      <c r="E101" s="204"/>
      <c r="F101" s="128"/>
      <c r="G101" s="129"/>
      <c r="H101" s="129"/>
      <c r="I101" s="129"/>
      <c r="J101" s="130"/>
      <c r="K101" s="132" t="str">
        <f t="shared" si="13"/>
        <v/>
      </c>
      <c r="L101" s="133" t="str">
        <f t="shared" si="14"/>
        <v/>
      </c>
      <c r="M101" s="134" t="str">
        <f t="shared" si="15"/>
        <v/>
      </c>
      <c r="N101" s="128"/>
      <c r="O101" s="129"/>
      <c r="P101" s="130"/>
      <c r="Q101" s="132" t="str">
        <f t="shared" si="16"/>
        <v/>
      </c>
      <c r="R101" s="133" t="str">
        <f t="shared" si="17"/>
        <v/>
      </c>
      <c r="S101" s="134" t="str">
        <f t="shared" si="18"/>
        <v/>
      </c>
      <c r="T101" s="128"/>
      <c r="U101" s="129"/>
      <c r="V101" s="130"/>
      <c r="W101" s="136" t="str">
        <f t="shared" si="19"/>
        <v/>
      </c>
      <c r="X101" s="133" t="str">
        <f t="shared" si="20"/>
        <v/>
      </c>
      <c r="Y101" s="134" t="str">
        <f t="shared" si="21"/>
        <v/>
      </c>
      <c r="Z101" s="137" t="str">
        <f t="shared" si="22"/>
        <v/>
      </c>
      <c r="AA101" s="138" t="str">
        <f t="shared" si="23"/>
        <v/>
      </c>
      <c r="AB101" s="139" t="str">
        <f t="shared" si="24"/>
        <v/>
      </c>
      <c r="AC101" s="140" t="str">
        <f t="array" ref="AC101">IF(AB101="","",IFERROR(INDEX(HELPER!$D$8:$D$48,IF(AB101&gt;=HELPER!$B$8,1,MATCH(AB101,HELPER!$B$8:$B$48,-1)+1)),""))</f>
        <v/>
      </c>
      <c r="AD101" s="141" t="str">
        <f>IF(AC101="","",IFERROR(VLOOKUP(AC101,HELPER!$F$8:$G$48,2,FALSE),""))</f>
        <v/>
      </c>
      <c r="AE101" s="6"/>
      <c r="AF101" s="12"/>
    </row>
    <row r="102" ht="15.0" customHeight="1">
      <c r="A102" s="6"/>
      <c r="B102" s="214">
        <v>34.0</v>
      </c>
      <c r="C102" s="202" t="str">
        <f>IF('INPUT DATA'!N44="","",'INPUT DATA'!N44)</f>
        <v/>
      </c>
      <c r="D102" s="203"/>
      <c r="E102" s="204"/>
      <c r="F102" s="128"/>
      <c r="G102" s="129"/>
      <c r="H102" s="129"/>
      <c r="I102" s="129"/>
      <c r="J102" s="130"/>
      <c r="K102" s="132" t="str">
        <f t="shared" si="13"/>
        <v/>
      </c>
      <c r="L102" s="133" t="str">
        <f t="shared" si="14"/>
        <v/>
      </c>
      <c r="M102" s="134" t="str">
        <f t="shared" si="15"/>
        <v/>
      </c>
      <c r="N102" s="128"/>
      <c r="O102" s="129"/>
      <c r="P102" s="130"/>
      <c r="Q102" s="132" t="str">
        <f t="shared" si="16"/>
        <v/>
      </c>
      <c r="R102" s="133" t="str">
        <f t="shared" si="17"/>
        <v/>
      </c>
      <c r="S102" s="134" t="str">
        <f t="shared" si="18"/>
        <v/>
      </c>
      <c r="T102" s="128"/>
      <c r="U102" s="129"/>
      <c r="V102" s="130"/>
      <c r="W102" s="136" t="str">
        <f t="shared" si="19"/>
        <v/>
      </c>
      <c r="X102" s="133" t="str">
        <f t="shared" si="20"/>
        <v/>
      </c>
      <c r="Y102" s="134" t="str">
        <f t="shared" si="21"/>
        <v/>
      </c>
      <c r="Z102" s="137" t="str">
        <f t="shared" si="22"/>
        <v/>
      </c>
      <c r="AA102" s="138" t="str">
        <f t="shared" si="23"/>
        <v/>
      </c>
      <c r="AB102" s="139" t="str">
        <f t="shared" si="24"/>
        <v/>
      </c>
      <c r="AC102" s="140" t="str">
        <f t="array" ref="AC102">IF(AB102="","",IFERROR(INDEX(HELPER!$D$8:$D$48,IF(AB102&gt;=HELPER!$B$8,1,MATCH(AB102,HELPER!$B$8:$B$48,-1)+1)),""))</f>
        <v/>
      </c>
      <c r="AD102" s="141" t="str">
        <f>IF(AC102="","",IFERROR(VLOOKUP(AC102,HELPER!$F$8:$G$48,2,FALSE),""))</f>
        <v/>
      </c>
      <c r="AE102" s="6"/>
      <c r="AF102" s="12"/>
    </row>
    <row r="103" ht="15.0" customHeight="1">
      <c r="A103" s="6"/>
      <c r="B103" s="214">
        <v>35.0</v>
      </c>
      <c r="C103" s="202" t="str">
        <f>IF('INPUT DATA'!N45="","",'INPUT DATA'!N45)</f>
        <v/>
      </c>
      <c r="D103" s="203"/>
      <c r="E103" s="204"/>
      <c r="F103" s="128"/>
      <c r="G103" s="129"/>
      <c r="H103" s="129"/>
      <c r="I103" s="129"/>
      <c r="J103" s="130"/>
      <c r="K103" s="132" t="str">
        <f t="shared" si="13"/>
        <v/>
      </c>
      <c r="L103" s="133" t="str">
        <f t="shared" si="14"/>
        <v/>
      </c>
      <c r="M103" s="134" t="str">
        <f t="shared" si="15"/>
        <v/>
      </c>
      <c r="N103" s="128"/>
      <c r="O103" s="129"/>
      <c r="P103" s="130"/>
      <c r="Q103" s="132" t="str">
        <f t="shared" si="16"/>
        <v/>
      </c>
      <c r="R103" s="133" t="str">
        <f t="shared" si="17"/>
        <v/>
      </c>
      <c r="S103" s="134" t="str">
        <f t="shared" si="18"/>
        <v/>
      </c>
      <c r="T103" s="128"/>
      <c r="U103" s="129"/>
      <c r="V103" s="130"/>
      <c r="W103" s="136" t="str">
        <f t="shared" si="19"/>
        <v/>
      </c>
      <c r="X103" s="133" t="str">
        <f t="shared" si="20"/>
        <v/>
      </c>
      <c r="Y103" s="134" t="str">
        <f t="shared" si="21"/>
        <v/>
      </c>
      <c r="Z103" s="137" t="str">
        <f t="shared" si="22"/>
        <v/>
      </c>
      <c r="AA103" s="138" t="str">
        <f t="shared" si="23"/>
        <v/>
      </c>
      <c r="AB103" s="139" t="str">
        <f t="shared" si="24"/>
        <v/>
      </c>
      <c r="AC103" s="140" t="str">
        <f t="array" ref="AC103">IF(AB103="","",IFERROR(INDEX(HELPER!$D$8:$D$48,IF(AB103&gt;=HELPER!$B$8,1,MATCH(AB103,HELPER!$B$8:$B$48,-1)+1)),""))</f>
        <v/>
      </c>
      <c r="AD103" s="141" t="str">
        <f>IF(AC103="","",IFERROR(VLOOKUP(AC103,HELPER!$F$8:$G$48,2,FALSE),""))</f>
        <v/>
      </c>
      <c r="AE103" s="6"/>
      <c r="AF103" s="12"/>
    </row>
    <row r="104" ht="15.0" customHeight="1">
      <c r="A104" s="6"/>
      <c r="B104" s="214">
        <v>36.0</v>
      </c>
      <c r="C104" s="202" t="str">
        <f>IF('INPUT DATA'!N46="","",'INPUT DATA'!N46)</f>
        <v/>
      </c>
      <c r="D104" s="203"/>
      <c r="E104" s="204"/>
      <c r="F104" s="128"/>
      <c r="G104" s="129"/>
      <c r="H104" s="129"/>
      <c r="I104" s="129"/>
      <c r="J104" s="130"/>
      <c r="K104" s="132" t="str">
        <f t="shared" si="13"/>
        <v/>
      </c>
      <c r="L104" s="133" t="str">
        <f t="shared" si="14"/>
        <v/>
      </c>
      <c r="M104" s="134" t="str">
        <f t="shared" si="15"/>
        <v/>
      </c>
      <c r="N104" s="128"/>
      <c r="O104" s="129"/>
      <c r="P104" s="130"/>
      <c r="Q104" s="132" t="str">
        <f t="shared" si="16"/>
        <v/>
      </c>
      <c r="R104" s="133" t="str">
        <f t="shared" si="17"/>
        <v/>
      </c>
      <c r="S104" s="134" t="str">
        <f t="shared" si="18"/>
        <v/>
      </c>
      <c r="T104" s="128"/>
      <c r="U104" s="129"/>
      <c r="V104" s="130"/>
      <c r="W104" s="136" t="str">
        <f t="shared" si="19"/>
        <v/>
      </c>
      <c r="X104" s="133" t="str">
        <f t="shared" si="20"/>
        <v/>
      </c>
      <c r="Y104" s="134" t="str">
        <f t="shared" si="21"/>
        <v/>
      </c>
      <c r="Z104" s="137" t="str">
        <f t="shared" si="22"/>
        <v/>
      </c>
      <c r="AA104" s="138" t="str">
        <f t="shared" si="23"/>
        <v/>
      </c>
      <c r="AB104" s="139" t="str">
        <f t="shared" si="24"/>
        <v/>
      </c>
      <c r="AC104" s="140" t="str">
        <f t="array" ref="AC104">IF(AB104="","",IFERROR(INDEX(HELPER!$D$8:$D$48,IF(AB104&gt;=HELPER!$B$8,1,MATCH(AB104,HELPER!$B$8:$B$48,-1)+1)),""))</f>
        <v/>
      </c>
      <c r="AD104" s="141" t="str">
        <f>IF(AC104="","",IFERROR(VLOOKUP(AC104,HELPER!$F$8:$G$48,2,FALSE),""))</f>
        <v/>
      </c>
      <c r="AE104" s="6"/>
      <c r="AF104" s="12"/>
    </row>
    <row r="105" ht="15.0" customHeight="1">
      <c r="A105" s="6"/>
      <c r="B105" s="214">
        <v>37.0</v>
      </c>
      <c r="C105" s="202" t="str">
        <f>IF('INPUT DATA'!N47="","",'INPUT DATA'!N47)</f>
        <v/>
      </c>
      <c r="D105" s="203"/>
      <c r="E105" s="204"/>
      <c r="F105" s="128"/>
      <c r="G105" s="129"/>
      <c r="H105" s="129"/>
      <c r="I105" s="129"/>
      <c r="J105" s="130"/>
      <c r="K105" s="132" t="str">
        <f t="shared" si="13"/>
        <v/>
      </c>
      <c r="L105" s="133" t="str">
        <f t="shared" si="14"/>
        <v/>
      </c>
      <c r="M105" s="134" t="str">
        <f t="shared" si="15"/>
        <v/>
      </c>
      <c r="N105" s="128"/>
      <c r="O105" s="129"/>
      <c r="P105" s="130"/>
      <c r="Q105" s="132" t="str">
        <f t="shared" si="16"/>
        <v/>
      </c>
      <c r="R105" s="133" t="str">
        <f t="shared" si="17"/>
        <v/>
      </c>
      <c r="S105" s="134" t="str">
        <f t="shared" si="18"/>
        <v/>
      </c>
      <c r="T105" s="128"/>
      <c r="U105" s="129"/>
      <c r="V105" s="130"/>
      <c r="W105" s="136" t="str">
        <f t="shared" si="19"/>
        <v/>
      </c>
      <c r="X105" s="133" t="str">
        <f t="shared" si="20"/>
        <v/>
      </c>
      <c r="Y105" s="134" t="str">
        <f t="shared" si="21"/>
        <v/>
      </c>
      <c r="Z105" s="137" t="str">
        <f t="shared" si="22"/>
        <v/>
      </c>
      <c r="AA105" s="138" t="str">
        <f t="shared" si="23"/>
        <v/>
      </c>
      <c r="AB105" s="139" t="str">
        <f t="shared" si="24"/>
        <v/>
      </c>
      <c r="AC105" s="140" t="str">
        <f t="array" ref="AC105">IF(AB105="","",IFERROR(INDEX(HELPER!$D$8:$D$48,IF(AB105&gt;=HELPER!$B$8,1,MATCH(AB105,HELPER!$B$8:$B$48,-1)+1)),""))</f>
        <v/>
      </c>
      <c r="AD105" s="141" t="str">
        <f>IF(AC105="","",IFERROR(VLOOKUP(AC105,HELPER!$F$8:$G$48,2,FALSE),""))</f>
        <v/>
      </c>
      <c r="AE105" s="6"/>
      <c r="AF105" s="12"/>
    </row>
    <row r="106" ht="15.0" customHeight="1">
      <c r="A106" s="6"/>
      <c r="B106" s="214">
        <v>38.0</v>
      </c>
      <c r="C106" s="202" t="str">
        <f>IF('INPUT DATA'!N48="","",'INPUT DATA'!N48)</f>
        <v/>
      </c>
      <c r="D106" s="203"/>
      <c r="E106" s="204"/>
      <c r="F106" s="128"/>
      <c r="G106" s="129"/>
      <c r="H106" s="129"/>
      <c r="I106" s="129"/>
      <c r="J106" s="130"/>
      <c r="K106" s="132" t="str">
        <f t="shared" si="13"/>
        <v/>
      </c>
      <c r="L106" s="133" t="str">
        <f t="shared" si="14"/>
        <v/>
      </c>
      <c r="M106" s="134" t="str">
        <f t="shared" si="15"/>
        <v/>
      </c>
      <c r="N106" s="128"/>
      <c r="O106" s="129"/>
      <c r="P106" s="130"/>
      <c r="Q106" s="132" t="str">
        <f t="shared" si="16"/>
        <v/>
      </c>
      <c r="R106" s="133" t="str">
        <f t="shared" si="17"/>
        <v/>
      </c>
      <c r="S106" s="134" t="str">
        <f t="shared" si="18"/>
        <v/>
      </c>
      <c r="T106" s="128"/>
      <c r="U106" s="129"/>
      <c r="V106" s="130"/>
      <c r="W106" s="136" t="str">
        <f t="shared" si="19"/>
        <v/>
      </c>
      <c r="X106" s="133" t="str">
        <f t="shared" si="20"/>
        <v/>
      </c>
      <c r="Y106" s="134" t="str">
        <f t="shared" si="21"/>
        <v/>
      </c>
      <c r="Z106" s="137" t="str">
        <f t="shared" si="22"/>
        <v/>
      </c>
      <c r="AA106" s="138" t="str">
        <f t="shared" si="23"/>
        <v/>
      </c>
      <c r="AB106" s="139" t="str">
        <f t="shared" si="24"/>
        <v/>
      </c>
      <c r="AC106" s="140" t="str">
        <f t="array" ref="AC106">IF(AB106="","",IFERROR(INDEX(HELPER!$D$8:$D$48,IF(AB106&gt;=HELPER!$B$8,1,MATCH(AB106,HELPER!$B$8:$B$48,-1)+1)),""))</f>
        <v/>
      </c>
      <c r="AD106" s="141" t="str">
        <f>IF(AC106="","",IFERROR(VLOOKUP(AC106,HELPER!$F$8:$G$48,2,FALSE),""))</f>
        <v/>
      </c>
      <c r="AE106" s="6"/>
      <c r="AF106" s="12"/>
    </row>
    <row r="107" ht="15.0" customHeight="1">
      <c r="A107" s="6"/>
      <c r="B107" s="214">
        <v>39.0</v>
      </c>
      <c r="C107" s="202" t="str">
        <f>IF('INPUT DATA'!N49="","",'INPUT DATA'!N49)</f>
        <v/>
      </c>
      <c r="D107" s="203"/>
      <c r="E107" s="204"/>
      <c r="F107" s="128"/>
      <c r="G107" s="129"/>
      <c r="H107" s="129"/>
      <c r="I107" s="129"/>
      <c r="J107" s="130"/>
      <c r="K107" s="132" t="str">
        <f t="shared" si="13"/>
        <v/>
      </c>
      <c r="L107" s="133" t="str">
        <f t="shared" si="14"/>
        <v/>
      </c>
      <c r="M107" s="134" t="str">
        <f t="shared" si="15"/>
        <v/>
      </c>
      <c r="N107" s="128"/>
      <c r="O107" s="129"/>
      <c r="P107" s="130"/>
      <c r="Q107" s="132" t="str">
        <f t="shared" si="16"/>
        <v/>
      </c>
      <c r="R107" s="133" t="str">
        <f t="shared" si="17"/>
        <v/>
      </c>
      <c r="S107" s="134" t="str">
        <f t="shared" si="18"/>
        <v/>
      </c>
      <c r="T107" s="128"/>
      <c r="U107" s="129"/>
      <c r="V107" s="130"/>
      <c r="W107" s="136" t="str">
        <f t="shared" si="19"/>
        <v/>
      </c>
      <c r="X107" s="133" t="str">
        <f t="shared" si="20"/>
        <v/>
      </c>
      <c r="Y107" s="134" t="str">
        <f t="shared" si="21"/>
        <v/>
      </c>
      <c r="Z107" s="137" t="str">
        <f t="shared" si="22"/>
        <v/>
      </c>
      <c r="AA107" s="138" t="str">
        <f t="shared" si="23"/>
        <v/>
      </c>
      <c r="AB107" s="139" t="str">
        <f t="shared" si="24"/>
        <v/>
      </c>
      <c r="AC107" s="140" t="str">
        <f t="array" ref="AC107">IF(AB107="","",IFERROR(INDEX(HELPER!$D$8:$D$48,IF(AB107&gt;=HELPER!$B$8,1,MATCH(AB107,HELPER!$B$8:$B$48,-1)+1)),""))</f>
        <v/>
      </c>
      <c r="AD107" s="141" t="str">
        <f>IF(AC107="","",IFERROR(VLOOKUP(AC107,HELPER!$F$8:$G$48,2,FALSE),""))</f>
        <v/>
      </c>
      <c r="AE107" s="6"/>
      <c r="AF107" s="12"/>
    </row>
    <row r="108" ht="15.0" customHeight="1">
      <c r="A108" s="6"/>
      <c r="B108" s="214">
        <v>40.0</v>
      </c>
      <c r="C108" s="202" t="str">
        <f>IF('INPUT DATA'!N50="","",'INPUT DATA'!N50)</f>
        <v/>
      </c>
      <c r="D108" s="203"/>
      <c r="E108" s="204"/>
      <c r="F108" s="128"/>
      <c r="G108" s="129"/>
      <c r="H108" s="129"/>
      <c r="I108" s="129"/>
      <c r="J108" s="130"/>
      <c r="K108" s="132" t="str">
        <f t="shared" si="13"/>
        <v/>
      </c>
      <c r="L108" s="133" t="str">
        <f t="shared" si="14"/>
        <v/>
      </c>
      <c r="M108" s="134" t="str">
        <f t="shared" si="15"/>
        <v/>
      </c>
      <c r="N108" s="128"/>
      <c r="O108" s="129"/>
      <c r="P108" s="130"/>
      <c r="Q108" s="132" t="str">
        <f t="shared" si="16"/>
        <v/>
      </c>
      <c r="R108" s="133" t="str">
        <f t="shared" si="17"/>
        <v/>
      </c>
      <c r="S108" s="134" t="str">
        <f t="shared" si="18"/>
        <v/>
      </c>
      <c r="T108" s="128"/>
      <c r="U108" s="129"/>
      <c r="V108" s="130"/>
      <c r="W108" s="136" t="str">
        <f t="shared" si="19"/>
        <v/>
      </c>
      <c r="X108" s="133" t="str">
        <f t="shared" si="20"/>
        <v/>
      </c>
      <c r="Y108" s="134" t="str">
        <f t="shared" si="21"/>
        <v/>
      </c>
      <c r="Z108" s="137" t="str">
        <f t="shared" si="22"/>
        <v/>
      </c>
      <c r="AA108" s="138" t="str">
        <f t="shared" si="23"/>
        <v/>
      </c>
      <c r="AB108" s="139" t="str">
        <f t="shared" si="24"/>
        <v/>
      </c>
      <c r="AC108" s="140" t="str">
        <f t="array" ref="AC108">IF(AB108="","",IFERROR(INDEX(HELPER!$D$8:$D$48,IF(AB108&gt;=HELPER!$B$8,1,MATCH(AB108,HELPER!$B$8:$B$48,-1)+1)),""))</f>
        <v/>
      </c>
      <c r="AD108" s="141" t="str">
        <f>IF(AC108="","",IFERROR(VLOOKUP(AC108,HELPER!$F$8:$G$48,2,FALSE),""))</f>
        <v/>
      </c>
      <c r="AE108" s="6"/>
      <c r="AF108" s="12"/>
    </row>
    <row r="109" ht="15.0" customHeight="1">
      <c r="A109" s="6"/>
      <c r="B109" s="214">
        <v>41.0</v>
      </c>
      <c r="C109" s="202" t="str">
        <f>IF('INPUT DATA'!N51="","",'INPUT DATA'!N51)</f>
        <v/>
      </c>
      <c r="D109" s="203"/>
      <c r="E109" s="204"/>
      <c r="F109" s="128"/>
      <c r="G109" s="129"/>
      <c r="H109" s="129"/>
      <c r="I109" s="129"/>
      <c r="J109" s="130"/>
      <c r="K109" s="132" t="str">
        <f t="shared" si="13"/>
        <v/>
      </c>
      <c r="L109" s="133" t="str">
        <f t="shared" si="14"/>
        <v/>
      </c>
      <c r="M109" s="134" t="str">
        <f t="shared" si="15"/>
        <v/>
      </c>
      <c r="N109" s="128"/>
      <c r="O109" s="129"/>
      <c r="P109" s="130"/>
      <c r="Q109" s="132" t="str">
        <f t="shared" si="16"/>
        <v/>
      </c>
      <c r="R109" s="133" t="str">
        <f t="shared" si="17"/>
        <v/>
      </c>
      <c r="S109" s="134" t="str">
        <f t="shared" si="18"/>
        <v/>
      </c>
      <c r="T109" s="128"/>
      <c r="U109" s="129"/>
      <c r="V109" s="130"/>
      <c r="W109" s="136" t="str">
        <f t="shared" si="19"/>
        <v/>
      </c>
      <c r="X109" s="133" t="str">
        <f t="shared" si="20"/>
        <v/>
      </c>
      <c r="Y109" s="134" t="str">
        <f t="shared" si="21"/>
        <v/>
      </c>
      <c r="Z109" s="137" t="str">
        <f t="shared" si="22"/>
        <v/>
      </c>
      <c r="AA109" s="138" t="str">
        <f t="shared" si="23"/>
        <v/>
      </c>
      <c r="AB109" s="139" t="str">
        <f t="shared" si="24"/>
        <v/>
      </c>
      <c r="AC109" s="140" t="str">
        <f t="array" ref="AC109">IF(AB109="","",IFERROR(INDEX(HELPER!$D$8:$D$48,IF(AB109&gt;=HELPER!$B$8,1,MATCH(AB109,HELPER!$B$8:$B$48,-1)+1)),""))</f>
        <v/>
      </c>
      <c r="AD109" s="141" t="str">
        <f>IF(AC109="","",IFERROR(VLOOKUP(AC109,HELPER!$F$8:$G$48,2,FALSE),""))</f>
        <v/>
      </c>
      <c r="AE109" s="6"/>
      <c r="AF109" s="12"/>
    </row>
    <row r="110" ht="15.0" customHeight="1">
      <c r="A110" s="6"/>
      <c r="B110" s="214">
        <v>42.0</v>
      </c>
      <c r="C110" s="202" t="str">
        <f>IF('INPUT DATA'!N52="","",'INPUT DATA'!N52)</f>
        <v/>
      </c>
      <c r="D110" s="203"/>
      <c r="E110" s="204"/>
      <c r="F110" s="128"/>
      <c r="G110" s="129"/>
      <c r="H110" s="129"/>
      <c r="I110" s="129"/>
      <c r="J110" s="130"/>
      <c r="K110" s="132" t="str">
        <f t="shared" si="13"/>
        <v/>
      </c>
      <c r="L110" s="133" t="str">
        <f t="shared" si="14"/>
        <v/>
      </c>
      <c r="M110" s="134" t="str">
        <f t="shared" si="15"/>
        <v/>
      </c>
      <c r="N110" s="128"/>
      <c r="O110" s="129"/>
      <c r="P110" s="130"/>
      <c r="Q110" s="132" t="str">
        <f t="shared" si="16"/>
        <v/>
      </c>
      <c r="R110" s="133" t="str">
        <f t="shared" si="17"/>
        <v/>
      </c>
      <c r="S110" s="134" t="str">
        <f t="shared" si="18"/>
        <v/>
      </c>
      <c r="T110" s="128"/>
      <c r="U110" s="129"/>
      <c r="V110" s="130"/>
      <c r="W110" s="136" t="str">
        <f t="shared" si="19"/>
        <v/>
      </c>
      <c r="X110" s="133" t="str">
        <f t="shared" si="20"/>
        <v/>
      </c>
      <c r="Y110" s="134" t="str">
        <f t="shared" si="21"/>
        <v/>
      </c>
      <c r="Z110" s="137" t="str">
        <f t="shared" si="22"/>
        <v/>
      </c>
      <c r="AA110" s="138" t="str">
        <f t="shared" si="23"/>
        <v/>
      </c>
      <c r="AB110" s="139" t="str">
        <f t="shared" si="24"/>
        <v/>
      </c>
      <c r="AC110" s="140" t="str">
        <f t="array" ref="AC110">IF(AB110="","",IFERROR(INDEX(HELPER!$D$8:$D$48,IF(AB110&gt;=HELPER!$B$8,1,MATCH(AB110,HELPER!$B$8:$B$48,-1)+1)),""))</f>
        <v/>
      </c>
      <c r="AD110" s="141" t="str">
        <f>IF(AC110="","",IFERROR(VLOOKUP(AC110,HELPER!$F$8:$G$48,2,FALSE),""))</f>
        <v/>
      </c>
      <c r="AE110" s="6"/>
      <c r="AF110" s="12"/>
    </row>
    <row r="111" ht="15.0" customHeight="1">
      <c r="A111" s="6"/>
      <c r="B111" s="214">
        <v>43.0</v>
      </c>
      <c r="C111" s="202" t="str">
        <f>IF('INPUT DATA'!N53="","",'INPUT DATA'!N53)</f>
        <v/>
      </c>
      <c r="D111" s="203"/>
      <c r="E111" s="204"/>
      <c r="F111" s="128"/>
      <c r="G111" s="129"/>
      <c r="H111" s="129"/>
      <c r="I111" s="129"/>
      <c r="J111" s="130"/>
      <c r="K111" s="132" t="str">
        <f t="shared" si="13"/>
        <v/>
      </c>
      <c r="L111" s="133" t="str">
        <f t="shared" si="14"/>
        <v/>
      </c>
      <c r="M111" s="134" t="str">
        <f t="shared" si="15"/>
        <v/>
      </c>
      <c r="N111" s="128"/>
      <c r="O111" s="129"/>
      <c r="P111" s="130"/>
      <c r="Q111" s="132" t="str">
        <f t="shared" si="16"/>
        <v/>
      </c>
      <c r="R111" s="133" t="str">
        <f t="shared" si="17"/>
        <v/>
      </c>
      <c r="S111" s="134" t="str">
        <f t="shared" si="18"/>
        <v/>
      </c>
      <c r="T111" s="128"/>
      <c r="U111" s="129"/>
      <c r="V111" s="130"/>
      <c r="W111" s="136" t="str">
        <f t="shared" si="19"/>
        <v/>
      </c>
      <c r="X111" s="133" t="str">
        <f t="shared" si="20"/>
        <v/>
      </c>
      <c r="Y111" s="134" t="str">
        <f t="shared" si="21"/>
        <v/>
      </c>
      <c r="Z111" s="137" t="str">
        <f t="shared" si="22"/>
        <v/>
      </c>
      <c r="AA111" s="138" t="str">
        <f t="shared" si="23"/>
        <v/>
      </c>
      <c r="AB111" s="139" t="str">
        <f t="shared" si="24"/>
        <v/>
      </c>
      <c r="AC111" s="140" t="str">
        <f t="array" ref="AC111">IF(AB111="","",IFERROR(INDEX(HELPER!$D$8:$D$48,IF(AB111&gt;=HELPER!$B$8,1,MATCH(AB111,HELPER!$B$8:$B$48,-1)+1)),""))</f>
        <v/>
      </c>
      <c r="AD111" s="141" t="str">
        <f>IF(AC111="","",IFERROR(VLOOKUP(AC111,HELPER!$F$8:$G$48,2,FALSE),""))</f>
        <v/>
      </c>
      <c r="AE111" s="6"/>
      <c r="AF111" s="12"/>
    </row>
    <row r="112" ht="15.0" customHeight="1">
      <c r="A112" s="6"/>
      <c r="B112" s="214">
        <v>44.0</v>
      </c>
      <c r="C112" s="202" t="str">
        <f>IF('INPUT DATA'!N54="","",'INPUT DATA'!N54)</f>
        <v/>
      </c>
      <c r="D112" s="203"/>
      <c r="E112" s="204"/>
      <c r="F112" s="128"/>
      <c r="G112" s="129"/>
      <c r="H112" s="129"/>
      <c r="I112" s="129"/>
      <c r="J112" s="130"/>
      <c r="K112" s="132" t="str">
        <f t="shared" si="13"/>
        <v/>
      </c>
      <c r="L112" s="133" t="str">
        <f t="shared" si="14"/>
        <v/>
      </c>
      <c r="M112" s="134" t="str">
        <f t="shared" si="15"/>
        <v/>
      </c>
      <c r="N112" s="128"/>
      <c r="O112" s="129"/>
      <c r="P112" s="130"/>
      <c r="Q112" s="132" t="str">
        <f t="shared" si="16"/>
        <v/>
      </c>
      <c r="R112" s="133" t="str">
        <f t="shared" si="17"/>
        <v/>
      </c>
      <c r="S112" s="134" t="str">
        <f t="shared" si="18"/>
        <v/>
      </c>
      <c r="T112" s="128"/>
      <c r="U112" s="129"/>
      <c r="V112" s="130"/>
      <c r="W112" s="136" t="str">
        <f t="shared" si="19"/>
        <v/>
      </c>
      <c r="X112" s="133" t="str">
        <f t="shared" si="20"/>
        <v/>
      </c>
      <c r="Y112" s="134" t="str">
        <f t="shared" si="21"/>
        <v/>
      </c>
      <c r="Z112" s="137" t="str">
        <f t="shared" si="22"/>
        <v/>
      </c>
      <c r="AA112" s="138" t="str">
        <f t="shared" si="23"/>
        <v/>
      </c>
      <c r="AB112" s="139" t="str">
        <f t="shared" si="24"/>
        <v/>
      </c>
      <c r="AC112" s="140" t="str">
        <f t="array" ref="AC112">IF(AB112="","",IFERROR(INDEX(HELPER!$D$8:$D$48,IF(AB112&gt;=HELPER!$B$8,1,MATCH(AB112,HELPER!$B$8:$B$48,-1)+1)),""))</f>
        <v/>
      </c>
      <c r="AD112" s="141" t="str">
        <f>IF(AC112="","",IFERROR(VLOOKUP(AC112,HELPER!$F$8:$G$48,2,FALSE),""))</f>
        <v/>
      </c>
      <c r="AE112" s="6"/>
      <c r="AF112" s="12"/>
    </row>
    <row r="113" ht="15.0" customHeight="1">
      <c r="A113" s="6"/>
      <c r="B113" s="214">
        <v>45.0</v>
      </c>
      <c r="C113" s="202" t="str">
        <f>IF('INPUT DATA'!N55="","",'INPUT DATA'!N55)</f>
        <v/>
      </c>
      <c r="D113" s="203"/>
      <c r="E113" s="204"/>
      <c r="F113" s="128"/>
      <c r="G113" s="129"/>
      <c r="H113" s="129"/>
      <c r="I113" s="129"/>
      <c r="J113" s="130"/>
      <c r="K113" s="132" t="str">
        <f t="shared" si="13"/>
        <v/>
      </c>
      <c r="L113" s="133" t="str">
        <f t="shared" si="14"/>
        <v/>
      </c>
      <c r="M113" s="134" t="str">
        <f t="shared" si="15"/>
        <v/>
      </c>
      <c r="N113" s="128"/>
      <c r="O113" s="129"/>
      <c r="P113" s="130"/>
      <c r="Q113" s="132" t="str">
        <f t="shared" si="16"/>
        <v/>
      </c>
      <c r="R113" s="133" t="str">
        <f t="shared" si="17"/>
        <v/>
      </c>
      <c r="S113" s="134" t="str">
        <f t="shared" si="18"/>
        <v/>
      </c>
      <c r="T113" s="128"/>
      <c r="U113" s="129"/>
      <c r="V113" s="130"/>
      <c r="W113" s="136" t="str">
        <f t="shared" si="19"/>
        <v/>
      </c>
      <c r="X113" s="133" t="str">
        <f t="shared" si="20"/>
        <v/>
      </c>
      <c r="Y113" s="134" t="str">
        <f t="shared" si="21"/>
        <v/>
      </c>
      <c r="Z113" s="137" t="str">
        <f t="shared" si="22"/>
        <v/>
      </c>
      <c r="AA113" s="138" t="str">
        <f t="shared" si="23"/>
        <v/>
      </c>
      <c r="AB113" s="139" t="str">
        <f t="shared" si="24"/>
        <v/>
      </c>
      <c r="AC113" s="140" t="str">
        <f t="array" ref="AC113">IF(AB113="","",IFERROR(INDEX(HELPER!$D$8:$D$48,IF(AB113&gt;=HELPER!$B$8,1,MATCH(AB113,HELPER!$B$8:$B$48,-1)+1)),""))</f>
        <v/>
      </c>
      <c r="AD113" s="141" t="str">
        <f>IF(AC113="","",IFERROR(VLOOKUP(AC113,HELPER!$F$8:$G$48,2,FALSE),""))</f>
        <v/>
      </c>
      <c r="AE113" s="6"/>
      <c r="AF113" s="12"/>
    </row>
    <row r="114" ht="15.0" customHeight="1">
      <c r="A114" s="6"/>
      <c r="B114" s="214">
        <v>46.0</v>
      </c>
      <c r="C114" s="202" t="str">
        <f>IF('INPUT DATA'!N56="","",'INPUT DATA'!N56)</f>
        <v/>
      </c>
      <c r="D114" s="203"/>
      <c r="E114" s="204"/>
      <c r="F114" s="128"/>
      <c r="G114" s="129"/>
      <c r="H114" s="129"/>
      <c r="I114" s="129"/>
      <c r="J114" s="130"/>
      <c r="K114" s="132" t="str">
        <f t="shared" si="13"/>
        <v/>
      </c>
      <c r="L114" s="133" t="str">
        <f t="shared" si="14"/>
        <v/>
      </c>
      <c r="M114" s="134" t="str">
        <f t="shared" si="15"/>
        <v/>
      </c>
      <c r="N114" s="128"/>
      <c r="O114" s="129"/>
      <c r="P114" s="130"/>
      <c r="Q114" s="132" t="str">
        <f t="shared" si="16"/>
        <v/>
      </c>
      <c r="R114" s="133" t="str">
        <f t="shared" si="17"/>
        <v/>
      </c>
      <c r="S114" s="134" t="str">
        <f t="shared" si="18"/>
        <v/>
      </c>
      <c r="T114" s="128"/>
      <c r="U114" s="129"/>
      <c r="V114" s="130"/>
      <c r="W114" s="136" t="str">
        <f t="shared" si="19"/>
        <v/>
      </c>
      <c r="X114" s="133" t="str">
        <f t="shared" si="20"/>
        <v/>
      </c>
      <c r="Y114" s="134" t="str">
        <f t="shared" si="21"/>
        <v/>
      </c>
      <c r="Z114" s="137" t="str">
        <f t="shared" si="22"/>
        <v/>
      </c>
      <c r="AA114" s="138" t="str">
        <f t="shared" si="23"/>
        <v/>
      </c>
      <c r="AB114" s="139" t="str">
        <f t="shared" si="24"/>
        <v/>
      </c>
      <c r="AC114" s="140" t="str">
        <f t="array" ref="AC114">IF(AB114="","",IFERROR(INDEX(HELPER!$D$8:$D$48,IF(AB114&gt;=HELPER!$B$8,1,MATCH(AB114,HELPER!$B$8:$B$48,-1)+1)),""))</f>
        <v/>
      </c>
      <c r="AD114" s="141" t="str">
        <f>IF(AC114="","",IFERROR(VLOOKUP(AC114,HELPER!$F$8:$G$48,2,FALSE),""))</f>
        <v/>
      </c>
      <c r="AE114" s="6"/>
      <c r="AF114" s="12"/>
    </row>
    <row r="115" ht="15.0" customHeight="1">
      <c r="A115" s="6"/>
      <c r="B115" s="214">
        <v>47.0</v>
      </c>
      <c r="C115" s="202" t="str">
        <f>IF('INPUT DATA'!N57="","",'INPUT DATA'!N57)</f>
        <v/>
      </c>
      <c r="D115" s="203"/>
      <c r="E115" s="204"/>
      <c r="F115" s="128"/>
      <c r="G115" s="129"/>
      <c r="H115" s="129"/>
      <c r="I115" s="129"/>
      <c r="J115" s="130"/>
      <c r="K115" s="132" t="str">
        <f t="shared" si="13"/>
        <v/>
      </c>
      <c r="L115" s="133" t="str">
        <f t="shared" si="14"/>
        <v/>
      </c>
      <c r="M115" s="134" t="str">
        <f t="shared" si="15"/>
        <v/>
      </c>
      <c r="N115" s="128"/>
      <c r="O115" s="129"/>
      <c r="P115" s="130"/>
      <c r="Q115" s="132" t="str">
        <f t="shared" si="16"/>
        <v/>
      </c>
      <c r="R115" s="133" t="str">
        <f t="shared" si="17"/>
        <v/>
      </c>
      <c r="S115" s="134" t="str">
        <f t="shared" si="18"/>
        <v/>
      </c>
      <c r="T115" s="128"/>
      <c r="U115" s="129"/>
      <c r="V115" s="130"/>
      <c r="W115" s="136" t="str">
        <f t="shared" si="19"/>
        <v/>
      </c>
      <c r="X115" s="133" t="str">
        <f t="shared" si="20"/>
        <v/>
      </c>
      <c r="Y115" s="134" t="str">
        <f t="shared" si="21"/>
        <v/>
      </c>
      <c r="Z115" s="137" t="str">
        <f t="shared" si="22"/>
        <v/>
      </c>
      <c r="AA115" s="138" t="str">
        <f t="shared" si="23"/>
        <v/>
      </c>
      <c r="AB115" s="139" t="str">
        <f t="shared" si="24"/>
        <v/>
      </c>
      <c r="AC115" s="140" t="str">
        <f t="array" ref="AC115">IF(AB115="","",IFERROR(INDEX(HELPER!$D$8:$D$48,IF(AB115&gt;=HELPER!$B$8,1,MATCH(AB115,HELPER!$B$8:$B$48,-1)+1)),""))</f>
        <v/>
      </c>
      <c r="AD115" s="141" t="str">
        <f>IF(AC115="","",IFERROR(VLOOKUP(AC115,HELPER!$F$8:$G$48,2,FALSE),""))</f>
        <v/>
      </c>
      <c r="AE115" s="6"/>
      <c r="AF115" s="12"/>
    </row>
    <row r="116" ht="15.0" customHeight="1">
      <c r="A116" s="6"/>
      <c r="B116" s="214">
        <v>48.0</v>
      </c>
      <c r="C116" s="202" t="str">
        <f>IF('INPUT DATA'!N58="","",'INPUT DATA'!N58)</f>
        <v/>
      </c>
      <c r="D116" s="203"/>
      <c r="E116" s="204"/>
      <c r="F116" s="217"/>
      <c r="G116" s="218"/>
      <c r="H116" s="218"/>
      <c r="I116" s="218"/>
      <c r="J116" s="219"/>
      <c r="K116" s="132" t="str">
        <f t="shared" si="13"/>
        <v/>
      </c>
      <c r="L116" s="133" t="str">
        <f t="shared" si="14"/>
        <v/>
      </c>
      <c r="M116" s="134" t="str">
        <f t="shared" si="15"/>
        <v/>
      </c>
      <c r="N116" s="217"/>
      <c r="O116" s="218"/>
      <c r="P116" s="219"/>
      <c r="Q116" s="132" t="str">
        <f t="shared" si="16"/>
        <v/>
      </c>
      <c r="R116" s="133" t="str">
        <f t="shared" si="17"/>
        <v/>
      </c>
      <c r="S116" s="134" t="str">
        <f t="shared" si="18"/>
        <v/>
      </c>
      <c r="T116" s="128"/>
      <c r="U116" s="129"/>
      <c r="V116" s="130"/>
      <c r="W116" s="136" t="str">
        <f t="shared" si="19"/>
        <v/>
      </c>
      <c r="X116" s="133" t="str">
        <f t="shared" si="20"/>
        <v/>
      </c>
      <c r="Y116" s="134" t="str">
        <f t="shared" si="21"/>
        <v/>
      </c>
      <c r="Z116" s="137" t="str">
        <f t="shared" si="22"/>
        <v/>
      </c>
      <c r="AA116" s="138" t="str">
        <f t="shared" si="23"/>
        <v/>
      </c>
      <c r="AB116" s="139" t="str">
        <f t="shared" si="24"/>
        <v/>
      </c>
      <c r="AC116" s="140" t="str">
        <f t="array" ref="AC116">IF(AB116="","",IFERROR(INDEX(HELPER!$D$8:$D$48,IF(AB116&gt;=HELPER!$B$8,1,MATCH(AB116,HELPER!$B$8:$B$48,-1)+1)),""))</f>
        <v/>
      </c>
      <c r="AD116" s="141" t="str">
        <f>IF(AC116="","",IFERROR(VLOOKUP(AC116,HELPER!$F$8:$G$48,2,FALSE),""))</f>
        <v/>
      </c>
      <c r="AE116" s="6"/>
      <c r="AF116" s="12"/>
    </row>
    <row r="117" ht="15.0" customHeight="1">
      <c r="A117" s="6"/>
      <c r="B117" s="214">
        <v>49.0</v>
      </c>
      <c r="C117" s="202" t="str">
        <f>IF('INPUT DATA'!N59="","",'INPUT DATA'!N59)</f>
        <v/>
      </c>
      <c r="D117" s="203"/>
      <c r="E117" s="204"/>
      <c r="F117" s="128"/>
      <c r="G117" s="129"/>
      <c r="H117" s="129"/>
      <c r="I117" s="129"/>
      <c r="J117" s="130"/>
      <c r="K117" s="132" t="str">
        <f t="shared" si="13"/>
        <v/>
      </c>
      <c r="L117" s="133" t="str">
        <f t="shared" si="14"/>
        <v/>
      </c>
      <c r="M117" s="134" t="str">
        <f t="shared" si="15"/>
        <v/>
      </c>
      <c r="N117" s="128"/>
      <c r="O117" s="129"/>
      <c r="P117" s="130"/>
      <c r="Q117" s="132" t="str">
        <f t="shared" si="16"/>
        <v/>
      </c>
      <c r="R117" s="133" t="str">
        <f t="shared" si="17"/>
        <v/>
      </c>
      <c r="S117" s="134" t="str">
        <f t="shared" si="18"/>
        <v/>
      </c>
      <c r="T117" s="128"/>
      <c r="U117" s="129"/>
      <c r="V117" s="130"/>
      <c r="W117" s="136" t="str">
        <f t="shared" si="19"/>
        <v/>
      </c>
      <c r="X117" s="133" t="str">
        <f t="shared" si="20"/>
        <v/>
      </c>
      <c r="Y117" s="134" t="str">
        <f t="shared" si="21"/>
        <v/>
      </c>
      <c r="Z117" s="137" t="str">
        <f t="shared" si="22"/>
        <v/>
      </c>
      <c r="AA117" s="138" t="str">
        <f t="shared" si="23"/>
        <v/>
      </c>
      <c r="AB117" s="139" t="str">
        <f t="shared" si="24"/>
        <v/>
      </c>
      <c r="AC117" s="140" t="str">
        <f t="array" ref="AC117">IF(AB117="","",IFERROR(INDEX(HELPER!$D$8:$D$48,IF(AB117&gt;=HELPER!$B$8,1,MATCH(AB117,HELPER!$B$8:$B$48,-1)+1)),""))</f>
        <v/>
      </c>
      <c r="AD117" s="141" t="str">
        <f>IF(AC117="","",IFERROR(VLOOKUP(AC117,HELPER!$F$8:$G$48,2,FALSE),""))</f>
        <v/>
      </c>
      <c r="AE117" s="6"/>
      <c r="AF117" s="12"/>
    </row>
    <row r="118" ht="15.0" customHeight="1">
      <c r="A118" s="6"/>
      <c r="B118" s="220">
        <v>50.0</v>
      </c>
      <c r="C118" s="221" t="str">
        <f>IF('INPUT DATA'!N60="","",'INPUT DATA'!N60)</f>
        <v/>
      </c>
      <c r="D118" s="222"/>
      <c r="E118" s="223"/>
      <c r="F118" s="184"/>
      <c r="G118" s="185"/>
      <c r="H118" s="185"/>
      <c r="I118" s="185"/>
      <c r="J118" s="186"/>
      <c r="K118" s="224" t="str">
        <f t="shared" si="13"/>
        <v/>
      </c>
      <c r="L118" s="225" t="str">
        <f t="shared" si="14"/>
        <v/>
      </c>
      <c r="M118" s="226" t="str">
        <f t="shared" si="15"/>
        <v/>
      </c>
      <c r="N118" s="184"/>
      <c r="O118" s="185"/>
      <c r="P118" s="186"/>
      <c r="Q118" s="224" t="str">
        <f t="shared" si="16"/>
        <v/>
      </c>
      <c r="R118" s="225" t="str">
        <f t="shared" si="17"/>
        <v/>
      </c>
      <c r="S118" s="226" t="str">
        <f t="shared" si="18"/>
        <v/>
      </c>
      <c r="T118" s="184"/>
      <c r="U118" s="185"/>
      <c r="V118" s="186"/>
      <c r="W118" s="227" t="str">
        <f t="shared" si="19"/>
        <v/>
      </c>
      <c r="X118" s="225" t="str">
        <f t="shared" si="20"/>
        <v/>
      </c>
      <c r="Y118" s="226" t="str">
        <f t="shared" si="21"/>
        <v/>
      </c>
      <c r="Z118" s="228" t="str">
        <f t="shared" si="22"/>
        <v/>
      </c>
      <c r="AA118" s="229" t="str">
        <f t="shared" si="23"/>
        <v/>
      </c>
      <c r="AB118" s="230" t="str">
        <f t="shared" si="24"/>
        <v/>
      </c>
      <c r="AC118" s="187" t="str">
        <f t="array" ref="AC118">IF(AB118="","",IFERROR(INDEX(HELPER!$D$8:$D$48,IF(AB118&gt;=HELPER!$B$8,1,MATCH(AB118,HELPER!$B$8:$B$48,-1)+1)),""))</f>
        <v/>
      </c>
      <c r="AD118" s="188" t="str">
        <f>IF(AC118="","",IFERROR(VLOOKUP(AC118,HELPER!$F$8:$G$48,2,FALSE),""))</f>
        <v/>
      </c>
      <c r="AE118" s="6"/>
      <c r="AF118" s="12"/>
    </row>
    <row r="119" ht="15.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5.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outlinePr summaryBelow="0"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0"/>
  <cols>
    <col customWidth="1" min="1" max="2" width="3.88"/>
    <col customWidth="1" min="3" max="5" width="12.63"/>
    <col customWidth="1" min="6" max="8" width="15.13"/>
    <col customWidth="1" min="9" max="9" width="17.88"/>
    <col customWidth="1" min="10" max="10" width="21.5"/>
    <col customWidth="1" min="11" max="11" width="17.38"/>
    <col customWidth="1" min="12" max="12" width="3.88"/>
    <col customWidth="1" min="14" max="14" width="16.38"/>
  </cols>
  <sheetData>
    <row r="1" ht="15.75" customHeight="1">
      <c r="A1" s="2"/>
      <c r="L1" s="6"/>
      <c r="M1" s="6"/>
    </row>
    <row r="2" ht="15.75" customHeight="1">
      <c r="B2" s="152" t="s">
        <v>41</v>
      </c>
      <c r="L2" s="6"/>
      <c r="M2" s="6"/>
    </row>
    <row r="3" ht="15.75" customHeight="1">
      <c r="L3" s="6"/>
      <c r="M3" s="6"/>
    </row>
    <row r="4" ht="15.75" customHeight="1">
      <c r="L4" s="6"/>
      <c r="M4" s="6"/>
    </row>
    <row r="5" ht="15.75" customHeight="1">
      <c r="A5" s="6"/>
      <c r="B5" s="6"/>
      <c r="C5" s="153" t="s">
        <v>4</v>
      </c>
      <c r="D5" s="63" t="str">
        <f>IF('INPUT DATA'!E10="","",'INPUT DATA'!E10)</f>
        <v/>
      </c>
      <c r="E5" s="31"/>
      <c r="F5" s="153" t="s">
        <v>8</v>
      </c>
      <c r="G5" s="63" t="str">
        <f>IF('INPUT DATA'!E11="","",'INPUT DATA'!E11)</f>
        <v/>
      </c>
      <c r="H5" s="31"/>
      <c r="I5" s="153" t="s">
        <v>9</v>
      </c>
      <c r="J5" s="63" t="str">
        <f>IF('INPUT DATA'!E13="","",'INPUT DATA'!E13)</f>
        <v/>
      </c>
      <c r="K5" s="31"/>
      <c r="L5" s="6"/>
      <c r="M5" s="6"/>
    </row>
    <row r="6" ht="15.75" customHeight="1">
      <c r="A6" s="6"/>
      <c r="B6" s="6"/>
      <c r="C6" s="153" t="s">
        <v>10</v>
      </c>
      <c r="D6" s="63" t="str">
        <f>IF('INPUT DATA'!E14="","",'INPUT DATA'!E14)</f>
        <v/>
      </c>
      <c r="E6" s="29"/>
      <c r="F6" s="29"/>
      <c r="G6" s="29"/>
      <c r="H6" s="31"/>
      <c r="I6" s="153" t="s">
        <v>11</v>
      </c>
      <c r="J6" s="63" t="str">
        <f>IF('INPUT DATA'!E15="","",'INPUT DATA'!E15)</f>
        <v/>
      </c>
      <c r="K6" s="31"/>
      <c r="L6" s="6"/>
      <c r="M6" s="6"/>
    </row>
    <row r="7" ht="15.75" customHeight="1">
      <c r="A7" s="6"/>
      <c r="B7" s="6"/>
      <c r="C7" s="21"/>
      <c r="D7" s="154"/>
      <c r="E7" s="6"/>
      <c r="F7" s="6"/>
      <c r="G7" s="6"/>
      <c r="H7" s="6"/>
      <c r="I7" s="21"/>
      <c r="J7" s="155"/>
      <c r="K7" s="6"/>
      <c r="L7" s="6"/>
      <c r="M7" s="6"/>
    </row>
    <row r="8" ht="15.75" customHeight="1">
      <c r="A8" s="6"/>
      <c r="B8" s="156"/>
      <c r="C8" s="54"/>
      <c r="D8" s="54"/>
      <c r="E8" s="54"/>
      <c r="F8" s="54"/>
      <c r="G8" s="54"/>
      <c r="H8" s="54"/>
      <c r="I8" s="54"/>
      <c r="J8" s="54"/>
      <c r="K8" s="157"/>
      <c r="L8" s="6"/>
      <c r="M8" s="6"/>
    </row>
    <row r="9" ht="15.75" customHeight="1">
      <c r="A9" s="6"/>
      <c r="B9" s="62" t="s">
        <v>15</v>
      </c>
      <c r="C9" s="31"/>
      <c r="D9" s="63" t="str">
        <f>IF('INPUT DATA'!E25="","",'INPUT DATA'!E25)</f>
        <v/>
      </c>
      <c r="E9" s="29"/>
      <c r="F9" s="29"/>
      <c r="G9" s="31"/>
      <c r="H9" s="158" t="s">
        <v>18</v>
      </c>
      <c r="I9" s="63" t="str">
        <f>IF('INPUT DATA'!E24="","",'INPUT DATA'!E24)</f>
        <v/>
      </c>
      <c r="J9" s="29"/>
      <c r="K9" s="31"/>
      <c r="L9" s="6"/>
      <c r="M9" s="6"/>
    </row>
    <row r="10" ht="15.75" customHeight="1">
      <c r="A10" s="6"/>
      <c r="B10" s="62" t="s">
        <v>19</v>
      </c>
      <c r="C10" s="31"/>
      <c r="D10" s="159" t="str">
        <f>IF('INPUT DATA'!E26="","",'INPUT DATA'!E26)</f>
        <v/>
      </c>
      <c r="E10" s="160"/>
      <c r="F10" s="160"/>
      <c r="G10" s="161"/>
      <c r="H10" s="162" t="s">
        <v>17</v>
      </c>
      <c r="I10" s="63" t="str">
        <f>IF('INPUT DATA'!E23="","",'INPUT DATA'!E23)</f>
        <v/>
      </c>
      <c r="J10" s="29"/>
      <c r="K10" s="31"/>
      <c r="L10" s="6"/>
      <c r="M10" s="6"/>
    </row>
    <row r="11" ht="15.75" customHeight="1">
      <c r="A11" s="6"/>
      <c r="B11" s="163" t="s">
        <v>3</v>
      </c>
      <c r="C11" s="16"/>
      <c r="D11" s="16"/>
      <c r="E11" s="16"/>
      <c r="F11" s="164" t="s">
        <v>42</v>
      </c>
      <c r="G11" s="29"/>
      <c r="H11" s="31"/>
      <c r="I11" s="165" t="s">
        <v>43</v>
      </c>
      <c r="J11" s="166" t="s">
        <v>44</v>
      </c>
      <c r="K11" s="166" t="s">
        <v>45</v>
      </c>
      <c r="L11" s="6"/>
      <c r="M11" s="6"/>
      <c r="N11" s="4"/>
      <c r="O11" s="4"/>
      <c r="P11" s="4"/>
      <c r="Q11" s="4"/>
      <c r="R11" s="4"/>
    </row>
    <row r="12" ht="15.75" customHeight="1">
      <c r="A12" s="6"/>
      <c r="B12" s="64"/>
      <c r="C12" s="50"/>
      <c r="D12" s="50"/>
      <c r="E12" s="50"/>
      <c r="F12" s="167" t="s">
        <v>46</v>
      </c>
      <c r="G12" s="167" t="s">
        <v>47</v>
      </c>
      <c r="H12" s="167" t="s">
        <v>48</v>
      </c>
      <c r="I12" s="51"/>
      <c r="J12" s="99"/>
      <c r="K12" s="99"/>
      <c r="L12" s="6"/>
      <c r="M12" s="6"/>
      <c r="N12" s="4"/>
      <c r="O12" s="4"/>
      <c r="P12" s="4"/>
      <c r="Q12" s="4"/>
      <c r="R12" s="4"/>
    </row>
    <row r="13" ht="15.75" customHeight="1">
      <c r="A13" s="6"/>
      <c r="B13" s="169" t="s">
        <v>6</v>
      </c>
      <c r="C13" s="29"/>
      <c r="D13" s="29"/>
      <c r="E13" s="29"/>
      <c r="F13" s="29"/>
      <c r="G13" s="29"/>
      <c r="H13" s="29"/>
      <c r="I13" s="29"/>
      <c r="J13" s="29"/>
      <c r="K13" s="31"/>
      <c r="L13" s="6"/>
      <c r="M13" s="6"/>
      <c r="N13" s="170"/>
      <c r="R13" s="4"/>
    </row>
    <row r="14" ht="15.0" customHeight="1">
      <c r="A14" s="6"/>
      <c r="B14" s="171">
        <v>1.0</v>
      </c>
      <c r="C14" s="172" t="str">
        <f>IF('INPUT DATA'!K11="","",'INPUT DATA'!K11)</f>
        <v/>
      </c>
      <c r="D14" s="107"/>
      <c r="E14" s="108"/>
      <c r="F14" s="173">
        <f>IF('TERM 1'!AC18="","",'TERM 1'!AC18)</f>
        <v>90</v>
      </c>
      <c r="G14" s="174" t="str">
        <f>IF('TERM 2'!AC18="","",'TERM 2'!AC18)</f>
        <v/>
      </c>
      <c r="H14" s="175" t="str">
        <f>IF('TERM 3'!AC18="","",'TERM 3'!AC18)</f>
        <v/>
      </c>
      <c r="I14" s="176" t="str">
        <f t="shared" ref="I14:I63" si="1">IF(COUNT(F14,G14,H14)&lt;3,"",ROUND(AVERAGE(F14,G14,H14),0))</f>
        <v/>
      </c>
      <c r="J14" s="177" t="str">
        <f t="array" ref="J14">IF(I14="","",IFERROR(INDEX(HELPER!$G$8:$G$48,MATCH(I14,HELPER!$F$8:$F$48,-1)),""))</f>
        <v/>
      </c>
      <c r="K14" s="125" t="str">
        <f t="shared" ref="K14:K63" si="2">IF(I14="", "", IF(I14&gt;=75, "Passed", "Failed"))</f>
        <v/>
      </c>
      <c r="L14" s="6"/>
      <c r="M14" s="6"/>
      <c r="N14" s="178"/>
      <c r="O14" s="170"/>
      <c r="P14" s="170"/>
      <c r="Q14" s="170"/>
      <c r="R14" s="4"/>
    </row>
    <row r="15" ht="15.0" customHeight="1">
      <c r="A15" s="6"/>
      <c r="B15" s="126">
        <v>2.0</v>
      </c>
      <c r="C15" s="172" t="str">
        <f>IF('INPUT DATA'!K12="","",'INPUT DATA'!K12)</f>
        <v/>
      </c>
      <c r="D15" s="107"/>
      <c r="E15" s="108"/>
      <c r="F15" s="179" t="str">
        <f>IF('TERM 1'!AC19="","",'TERM 1'!AC19)</f>
        <v/>
      </c>
      <c r="G15" s="179" t="str">
        <f>IF('TERM 2'!AC19="","",'TERM 2'!AC19)</f>
        <v/>
      </c>
      <c r="H15" s="180" t="str">
        <f>IF('TERM 3'!AC19="","",'TERM 3'!AC19)</f>
        <v/>
      </c>
      <c r="I15" s="181" t="str">
        <f t="shared" si="1"/>
        <v/>
      </c>
      <c r="J15" s="182" t="str">
        <f t="array" ref="J15">IF(I15="","",IFERROR(INDEX(HELPER!$G$8:$G$48,MATCH(I15,HELPER!$F$8:$F$48,-1)),""))</f>
        <v/>
      </c>
      <c r="K15" s="141" t="str">
        <f t="shared" si="2"/>
        <v/>
      </c>
      <c r="L15" s="6"/>
      <c r="M15" s="6"/>
      <c r="N15" s="183"/>
      <c r="O15" s="4"/>
      <c r="P15" s="4"/>
      <c r="Q15" s="4"/>
      <c r="R15" s="4"/>
    </row>
    <row r="16" ht="15.0" customHeight="1">
      <c r="A16" s="6"/>
      <c r="B16" s="126">
        <v>3.0</v>
      </c>
      <c r="C16" s="172" t="str">
        <f>IF('INPUT DATA'!K13="","",'INPUT DATA'!K13)</f>
        <v/>
      </c>
      <c r="D16" s="107"/>
      <c r="E16" s="108"/>
      <c r="F16" s="179" t="str">
        <f>IF('TERM 1'!AC20="","",'TERM 1'!AC20)</f>
        <v/>
      </c>
      <c r="G16" s="179" t="str">
        <f>IF('TERM 2'!AC20="","",'TERM 2'!AC20)</f>
        <v/>
      </c>
      <c r="H16" s="180" t="str">
        <f>IF('TERM 3'!AC20="","",'TERM 3'!AC20)</f>
        <v/>
      </c>
      <c r="I16" s="181" t="str">
        <f t="shared" si="1"/>
        <v/>
      </c>
      <c r="J16" s="182" t="str">
        <f t="array" ref="J16">IF(I16="","",IFERROR(INDEX(HELPER!$G$8:$G$48,MATCH(I16,HELPER!$F$8:$F$48,-1)),""))</f>
        <v/>
      </c>
      <c r="K16" s="141" t="str">
        <f t="shared" si="2"/>
        <v/>
      </c>
      <c r="L16" s="6"/>
      <c r="M16" s="6"/>
      <c r="N16" s="183"/>
      <c r="O16" s="4"/>
      <c r="P16" s="4"/>
      <c r="Q16" s="4"/>
      <c r="R16" s="4"/>
    </row>
    <row r="17" ht="15.0" customHeight="1">
      <c r="A17" s="6"/>
      <c r="B17" s="126">
        <v>4.0</v>
      </c>
      <c r="C17" s="172" t="str">
        <f>IF('INPUT DATA'!K14="","",'INPUT DATA'!K14)</f>
        <v/>
      </c>
      <c r="D17" s="107"/>
      <c r="E17" s="108"/>
      <c r="F17" s="179" t="str">
        <f>IF('TERM 1'!AC21="","",'TERM 1'!AC21)</f>
        <v/>
      </c>
      <c r="G17" s="179" t="str">
        <f>IF('TERM 2'!AC21="","",'TERM 2'!AC21)</f>
        <v/>
      </c>
      <c r="H17" s="180" t="str">
        <f>IF('TERM 3'!AC21="","",'TERM 3'!AC21)</f>
        <v/>
      </c>
      <c r="I17" s="181" t="str">
        <f t="shared" si="1"/>
        <v/>
      </c>
      <c r="J17" s="182" t="str">
        <f t="array" ref="J17">IF(I17="","",IFERROR(INDEX(HELPER!$G$8:$G$48,MATCH(I17,HELPER!$F$8:$F$48,-1)),""))</f>
        <v/>
      </c>
      <c r="K17" s="141" t="str">
        <f t="shared" si="2"/>
        <v/>
      </c>
      <c r="L17" s="6"/>
      <c r="M17" s="6"/>
      <c r="N17" s="183"/>
      <c r="O17" s="4"/>
      <c r="P17" s="4"/>
      <c r="Q17" s="4"/>
      <c r="R17" s="4"/>
    </row>
    <row r="18" ht="15.0" customHeight="1">
      <c r="A18" s="6"/>
      <c r="B18" s="126">
        <v>5.0</v>
      </c>
      <c r="C18" s="172" t="str">
        <f>IF('INPUT DATA'!K15="","",'INPUT DATA'!K15)</f>
        <v/>
      </c>
      <c r="D18" s="107"/>
      <c r="E18" s="108"/>
      <c r="F18" s="179" t="str">
        <f>IF('TERM 1'!AC22="","",'TERM 1'!AC22)</f>
        <v/>
      </c>
      <c r="G18" s="179" t="str">
        <f>IF('TERM 2'!AC22="","",'TERM 2'!AC22)</f>
        <v/>
      </c>
      <c r="H18" s="180" t="str">
        <f>IF('TERM 3'!AC22="","",'TERM 3'!AC22)</f>
        <v/>
      </c>
      <c r="I18" s="181" t="str">
        <f t="shared" si="1"/>
        <v/>
      </c>
      <c r="J18" s="182" t="str">
        <f t="array" ref="J18">IF(I18="","",IFERROR(INDEX(HELPER!$G$8:$G$48,MATCH(I18,HELPER!$F$8:$F$48,-1)),""))</f>
        <v/>
      </c>
      <c r="K18" s="141" t="str">
        <f t="shared" si="2"/>
        <v/>
      </c>
      <c r="L18" s="6"/>
      <c r="M18" s="6"/>
      <c r="N18" s="183"/>
      <c r="O18" s="4"/>
      <c r="P18" s="4"/>
      <c r="Q18" s="4"/>
      <c r="R18" s="4"/>
    </row>
    <row r="19" ht="15.0" customHeight="1">
      <c r="A19" s="6"/>
      <c r="B19" s="126">
        <v>6.0</v>
      </c>
      <c r="C19" s="172" t="str">
        <f>IF('INPUT DATA'!K16="","",'INPUT DATA'!K16)</f>
        <v/>
      </c>
      <c r="D19" s="107"/>
      <c r="E19" s="108"/>
      <c r="F19" s="179" t="str">
        <f>IF('TERM 1'!AC23="","",'TERM 1'!AC23)</f>
        <v/>
      </c>
      <c r="G19" s="179" t="str">
        <f>IF('TERM 2'!AC23="","",'TERM 2'!AC23)</f>
        <v/>
      </c>
      <c r="H19" s="180" t="str">
        <f>IF('TERM 3'!AC23="","",'TERM 3'!AC23)</f>
        <v/>
      </c>
      <c r="I19" s="181" t="str">
        <f t="shared" si="1"/>
        <v/>
      </c>
      <c r="J19" s="182" t="str">
        <f t="array" ref="J19">IF(I19="","",IFERROR(INDEX(HELPER!$G$8:$G$48,MATCH(I19,HELPER!$F$8:$F$48,-1)),""))</f>
        <v/>
      </c>
      <c r="K19" s="141" t="str">
        <f t="shared" si="2"/>
        <v/>
      </c>
      <c r="L19" s="6"/>
      <c r="M19" s="6"/>
      <c r="N19" s="183"/>
      <c r="O19" s="4"/>
      <c r="P19" s="4"/>
      <c r="Q19" s="4"/>
      <c r="R19" s="4"/>
    </row>
    <row r="20" ht="15.0" customHeight="1">
      <c r="A20" s="6"/>
      <c r="B20" s="126">
        <v>7.0</v>
      </c>
      <c r="C20" s="172" t="str">
        <f>IF('INPUT DATA'!K17="","",'INPUT DATA'!K17)</f>
        <v/>
      </c>
      <c r="D20" s="107"/>
      <c r="E20" s="108"/>
      <c r="F20" s="179" t="str">
        <f>IF('TERM 1'!AC24="","",'TERM 1'!AC24)</f>
        <v/>
      </c>
      <c r="G20" s="179" t="str">
        <f>IF('TERM 2'!AC24="","",'TERM 2'!AC24)</f>
        <v/>
      </c>
      <c r="H20" s="180" t="str">
        <f>IF('TERM 3'!AC24="","",'TERM 3'!AC24)</f>
        <v/>
      </c>
      <c r="I20" s="181" t="str">
        <f t="shared" si="1"/>
        <v/>
      </c>
      <c r="J20" s="182" t="str">
        <f t="array" ref="J20">IF(I20="","",IFERROR(INDEX(HELPER!$G$8:$G$48,MATCH(I20,HELPER!$F$8:$F$48,-1)),""))</f>
        <v/>
      </c>
      <c r="K20" s="141" t="str">
        <f t="shared" si="2"/>
        <v/>
      </c>
      <c r="L20" s="6"/>
      <c r="M20" s="6"/>
      <c r="N20" s="4"/>
      <c r="O20" s="4"/>
      <c r="P20" s="4"/>
      <c r="Q20" s="4"/>
      <c r="R20" s="4"/>
    </row>
    <row r="21" ht="15.0" customHeight="1">
      <c r="A21" s="6"/>
      <c r="B21" s="126">
        <v>8.0</v>
      </c>
      <c r="C21" s="172" t="str">
        <f>IF('INPUT DATA'!K18="","",'INPUT DATA'!K18)</f>
        <v/>
      </c>
      <c r="D21" s="107"/>
      <c r="E21" s="108"/>
      <c r="F21" s="179" t="str">
        <f>IF('TERM 1'!AC25="","",'TERM 1'!AC25)</f>
        <v/>
      </c>
      <c r="G21" s="179" t="str">
        <f>IF('TERM 2'!AC25="","",'TERM 2'!AC25)</f>
        <v/>
      </c>
      <c r="H21" s="180" t="str">
        <f>IF('TERM 3'!AC25="","",'TERM 3'!AC25)</f>
        <v/>
      </c>
      <c r="I21" s="181" t="str">
        <f t="shared" si="1"/>
        <v/>
      </c>
      <c r="J21" s="182" t="str">
        <f t="array" ref="J21">IF(I21="","",IFERROR(INDEX(HELPER!$G$8:$G$48,MATCH(I21,HELPER!$F$8:$F$48,-1)),""))</f>
        <v/>
      </c>
      <c r="K21" s="141" t="str">
        <f t="shared" si="2"/>
        <v/>
      </c>
      <c r="L21" s="6"/>
      <c r="M21" s="6"/>
      <c r="N21" s="4"/>
      <c r="O21" s="4"/>
      <c r="P21" s="4"/>
      <c r="Q21" s="4"/>
      <c r="R21" s="4"/>
    </row>
    <row r="22" ht="15.0" customHeight="1">
      <c r="A22" s="6"/>
      <c r="B22" s="126">
        <v>9.0</v>
      </c>
      <c r="C22" s="172" t="str">
        <f>IF('INPUT DATA'!K19="","",'INPUT DATA'!K19)</f>
        <v/>
      </c>
      <c r="D22" s="107"/>
      <c r="E22" s="108"/>
      <c r="F22" s="179" t="str">
        <f>IF('TERM 1'!AC26="","",'TERM 1'!AC26)</f>
        <v/>
      </c>
      <c r="G22" s="179" t="str">
        <f>IF('TERM 2'!AC26="","",'TERM 2'!AC26)</f>
        <v/>
      </c>
      <c r="H22" s="180" t="str">
        <f>IF('TERM 3'!AC26="","",'TERM 3'!AC26)</f>
        <v/>
      </c>
      <c r="I22" s="181" t="str">
        <f t="shared" si="1"/>
        <v/>
      </c>
      <c r="J22" s="182" t="str">
        <f t="array" ref="J22">IF(I22="","",IFERROR(INDEX(HELPER!$G$8:$G$48,MATCH(I22,HELPER!$F$8:$F$48,-1)),""))</f>
        <v/>
      </c>
      <c r="K22" s="141" t="str">
        <f t="shared" si="2"/>
        <v/>
      </c>
      <c r="L22" s="6"/>
      <c r="M22" s="6"/>
      <c r="N22" s="4"/>
      <c r="O22" s="4"/>
      <c r="P22" s="4"/>
      <c r="Q22" s="4"/>
      <c r="R22" s="4"/>
    </row>
    <row r="23" ht="15.0" customHeight="1">
      <c r="A23" s="6"/>
      <c r="B23" s="126">
        <v>10.0</v>
      </c>
      <c r="C23" s="172" t="str">
        <f>IF('INPUT DATA'!K20="","",'INPUT DATA'!K20)</f>
        <v/>
      </c>
      <c r="D23" s="107"/>
      <c r="E23" s="108"/>
      <c r="F23" s="179" t="str">
        <f>IF('TERM 1'!AC27="","",'TERM 1'!AC27)</f>
        <v/>
      </c>
      <c r="G23" s="179" t="str">
        <f>IF('TERM 2'!AC27="","",'TERM 2'!AC27)</f>
        <v/>
      </c>
      <c r="H23" s="180" t="str">
        <f>IF('TERM 3'!AC27="","",'TERM 3'!AC27)</f>
        <v/>
      </c>
      <c r="I23" s="181" t="str">
        <f t="shared" si="1"/>
        <v/>
      </c>
      <c r="J23" s="182" t="str">
        <f t="array" ref="J23">IF(I23="","",IFERROR(INDEX(HELPER!$G$8:$G$48,MATCH(I23,HELPER!$F$8:$F$48,-1)),""))</f>
        <v/>
      </c>
      <c r="K23" s="141" t="str">
        <f t="shared" si="2"/>
        <v/>
      </c>
      <c r="L23" s="6"/>
      <c r="M23" s="6"/>
    </row>
    <row r="24" ht="15.0" customHeight="1">
      <c r="A24" s="6"/>
      <c r="B24" s="126">
        <v>11.0</v>
      </c>
      <c r="C24" s="172" t="str">
        <f>IF('INPUT DATA'!K21="","",'INPUT DATA'!K21)</f>
        <v/>
      </c>
      <c r="D24" s="107"/>
      <c r="E24" s="108"/>
      <c r="F24" s="179" t="str">
        <f>IF('TERM 1'!AC28="","",'TERM 1'!AC28)</f>
        <v/>
      </c>
      <c r="G24" s="179" t="str">
        <f>IF('TERM 2'!AC28="","",'TERM 2'!AC28)</f>
        <v/>
      </c>
      <c r="H24" s="180" t="str">
        <f>IF('TERM 3'!AC28="","",'TERM 3'!AC28)</f>
        <v/>
      </c>
      <c r="I24" s="181" t="str">
        <f t="shared" si="1"/>
        <v/>
      </c>
      <c r="J24" s="182" t="str">
        <f t="array" ref="J24">IF(I24="","",IFERROR(INDEX(HELPER!$G$8:$G$48,MATCH(I24,HELPER!$F$8:$F$48,-1)),""))</f>
        <v/>
      </c>
      <c r="K24" s="141" t="str">
        <f t="shared" si="2"/>
        <v/>
      </c>
      <c r="L24" s="6"/>
      <c r="M24" s="6"/>
    </row>
    <row r="25" ht="15.0" customHeight="1">
      <c r="A25" s="6"/>
      <c r="B25" s="126">
        <v>12.0</v>
      </c>
      <c r="C25" s="172" t="str">
        <f>IF('INPUT DATA'!K22="","",'INPUT DATA'!K22)</f>
        <v/>
      </c>
      <c r="D25" s="107"/>
      <c r="E25" s="108"/>
      <c r="F25" s="179" t="str">
        <f>IF('TERM 1'!AC29="","",'TERM 1'!AC29)</f>
        <v/>
      </c>
      <c r="G25" s="179" t="str">
        <f>IF('TERM 2'!AC29="","",'TERM 2'!AC29)</f>
        <v/>
      </c>
      <c r="H25" s="180" t="str">
        <f>IF('TERM 3'!AC29="","",'TERM 3'!AC29)</f>
        <v/>
      </c>
      <c r="I25" s="181" t="str">
        <f t="shared" si="1"/>
        <v/>
      </c>
      <c r="J25" s="182" t="str">
        <f t="array" ref="J25">IF(I25="","",IFERROR(INDEX(HELPER!$G$8:$G$48,MATCH(I25,HELPER!$F$8:$F$48,-1)),""))</f>
        <v/>
      </c>
      <c r="K25" s="141" t="str">
        <f t="shared" si="2"/>
        <v/>
      </c>
      <c r="L25" s="6"/>
      <c r="M25" s="6"/>
    </row>
    <row r="26" ht="15.0" customHeight="1">
      <c r="A26" s="6"/>
      <c r="B26" s="126">
        <v>13.0</v>
      </c>
      <c r="C26" s="172" t="str">
        <f>IF('INPUT DATA'!K23="","",'INPUT DATA'!K23)</f>
        <v/>
      </c>
      <c r="D26" s="107"/>
      <c r="E26" s="108"/>
      <c r="F26" s="179" t="str">
        <f>IF('TERM 1'!AC30="","",'TERM 1'!AC30)</f>
        <v/>
      </c>
      <c r="G26" s="179" t="str">
        <f>IF('TERM 2'!AC30="","",'TERM 2'!AC30)</f>
        <v/>
      </c>
      <c r="H26" s="180" t="str">
        <f>IF('TERM 3'!AC30="","",'TERM 3'!AC30)</f>
        <v/>
      </c>
      <c r="I26" s="181" t="str">
        <f t="shared" si="1"/>
        <v/>
      </c>
      <c r="J26" s="182" t="str">
        <f t="array" ref="J26">IF(I26="","",IFERROR(INDEX(HELPER!$G$8:$G$48,MATCH(I26,HELPER!$F$8:$F$48,-1)),""))</f>
        <v/>
      </c>
      <c r="K26" s="141" t="str">
        <f t="shared" si="2"/>
        <v/>
      </c>
      <c r="L26" s="6"/>
      <c r="M26" s="6"/>
    </row>
    <row r="27" ht="15.0" customHeight="1">
      <c r="A27" s="6"/>
      <c r="B27" s="126">
        <v>14.0</v>
      </c>
      <c r="C27" s="172" t="str">
        <f>IF('INPUT DATA'!K24="","",'INPUT DATA'!K24)</f>
        <v/>
      </c>
      <c r="D27" s="107"/>
      <c r="E27" s="108"/>
      <c r="F27" s="179" t="str">
        <f>IF('TERM 1'!AC31="","",'TERM 1'!AC31)</f>
        <v/>
      </c>
      <c r="G27" s="179" t="str">
        <f>IF('TERM 2'!AC31="","",'TERM 2'!AC31)</f>
        <v/>
      </c>
      <c r="H27" s="180" t="str">
        <f>IF('TERM 3'!AC31="","",'TERM 3'!AC31)</f>
        <v/>
      </c>
      <c r="I27" s="181" t="str">
        <f t="shared" si="1"/>
        <v/>
      </c>
      <c r="J27" s="182" t="str">
        <f t="array" ref="J27">IF(I27="","",IFERROR(INDEX(HELPER!$G$8:$G$48,MATCH(I27,HELPER!$F$8:$F$48,-1)),""))</f>
        <v/>
      </c>
      <c r="K27" s="141" t="str">
        <f t="shared" si="2"/>
        <v/>
      </c>
      <c r="L27" s="6"/>
      <c r="M27" s="6"/>
    </row>
    <row r="28" ht="15.0" customHeight="1">
      <c r="A28" s="6"/>
      <c r="B28" s="126">
        <v>15.0</v>
      </c>
      <c r="C28" s="172" t="str">
        <f>IF('INPUT DATA'!K25="","",'INPUT DATA'!K25)</f>
        <v/>
      </c>
      <c r="D28" s="107"/>
      <c r="E28" s="108"/>
      <c r="F28" s="179" t="str">
        <f>IF('TERM 1'!AC32="","",'TERM 1'!AC32)</f>
        <v/>
      </c>
      <c r="G28" s="179" t="str">
        <f>IF('TERM 2'!AC32="","",'TERM 2'!AC32)</f>
        <v/>
      </c>
      <c r="H28" s="180" t="str">
        <f>IF('TERM 3'!AC32="","",'TERM 3'!AC32)</f>
        <v/>
      </c>
      <c r="I28" s="181" t="str">
        <f t="shared" si="1"/>
        <v/>
      </c>
      <c r="J28" s="182" t="str">
        <f t="array" ref="J28">IF(I28="","",IFERROR(INDEX(HELPER!$G$8:$G$48,MATCH(I28,HELPER!$F$8:$F$48,-1)),""))</f>
        <v/>
      </c>
      <c r="K28" s="141" t="str">
        <f t="shared" si="2"/>
        <v/>
      </c>
      <c r="L28" s="6"/>
      <c r="M28" s="6"/>
    </row>
    <row r="29" ht="15.0" customHeight="1">
      <c r="A29" s="6"/>
      <c r="B29" s="126">
        <v>16.0</v>
      </c>
      <c r="C29" s="172" t="str">
        <f>IF('INPUT DATA'!K26="","",'INPUT DATA'!K26)</f>
        <v/>
      </c>
      <c r="D29" s="107"/>
      <c r="E29" s="108"/>
      <c r="F29" s="179" t="str">
        <f>IF('TERM 1'!AC33="","",'TERM 1'!AC33)</f>
        <v/>
      </c>
      <c r="G29" s="179" t="str">
        <f>IF('TERM 2'!AC33="","",'TERM 2'!AC33)</f>
        <v/>
      </c>
      <c r="H29" s="180" t="str">
        <f>IF('TERM 3'!AC33="","",'TERM 3'!AC33)</f>
        <v/>
      </c>
      <c r="I29" s="181" t="str">
        <f t="shared" si="1"/>
        <v/>
      </c>
      <c r="J29" s="182" t="str">
        <f t="array" ref="J29">IF(I29="","",IFERROR(INDEX(HELPER!$G$8:$G$48,MATCH(I29,HELPER!$F$8:$F$48,-1)),""))</f>
        <v/>
      </c>
      <c r="K29" s="141" t="str">
        <f t="shared" si="2"/>
        <v/>
      </c>
      <c r="L29" s="6"/>
      <c r="M29" s="6"/>
    </row>
    <row r="30" ht="15.0" customHeight="1">
      <c r="A30" s="6"/>
      <c r="B30" s="126">
        <v>17.0</v>
      </c>
      <c r="C30" s="172" t="str">
        <f>IF('INPUT DATA'!K27="","",'INPUT DATA'!K27)</f>
        <v/>
      </c>
      <c r="D30" s="107"/>
      <c r="E30" s="108"/>
      <c r="F30" s="179" t="str">
        <f>IF('TERM 1'!AC34="","",'TERM 1'!AC34)</f>
        <v/>
      </c>
      <c r="G30" s="179" t="str">
        <f>IF('TERM 2'!AC34="","",'TERM 2'!AC34)</f>
        <v/>
      </c>
      <c r="H30" s="180" t="str">
        <f>IF('TERM 3'!AC34="","",'TERM 3'!AC34)</f>
        <v/>
      </c>
      <c r="I30" s="181" t="str">
        <f t="shared" si="1"/>
        <v/>
      </c>
      <c r="J30" s="182" t="str">
        <f t="array" ref="J30">IF(I30="","",IFERROR(INDEX(HELPER!$G$8:$G$48,MATCH(I30,HELPER!$F$8:$F$48,-1)),""))</f>
        <v/>
      </c>
      <c r="K30" s="141" t="str">
        <f t="shared" si="2"/>
        <v/>
      </c>
      <c r="L30" s="6"/>
      <c r="M30" s="6"/>
    </row>
    <row r="31" ht="15.0" customHeight="1">
      <c r="A31" s="6"/>
      <c r="B31" s="126">
        <v>18.0</v>
      </c>
      <c r="C31" s="172" t="str">
        <f>IF('INPUT DATA'!K28="","",'INPUT DATA'!K28)</f>
        <v/>
      </c>
      <c r="D31" s="107"/>
      <c r="E31" s="108"/>
      <c r="F31" s="179" t="str">
        <f>IF('TERM 1'!AC35="","",'TERM 1'!AC35)</f>
        <v/>
      </c>
      <c r="G31" s="179" t="str">
        <f>IF('TERM 2'!AC35="","",'TERM 2'!AC35)</f>
        <v/>
      </c>
      <c r="H31" s="180" t="str">
        <f>IF('TERM 3'!AC35="","",'TERM 3'!AC35)</f>
        <v/>
      </c>
      <c r="I31" s="181" t="str">
        <f t="shared" si="1"/>
        <v/>
      </c>
      <c r="J31" s="182" t="str">
        <f t="array" ref="J31">IF(I31="","",IFERROR(INDEX(HELPER!$G$8:$G$48,MATCH(I31,HELPER!$F$8:$F$48,-1)),""))</f>
        <v/>
      </c>
      <c r="K31" s="141" t="str">
        <f t="shared" si="2"/>
        <v/>
      </c>
      <c r="L31" s="6"/>
      <c r="M31" s="6"/>
    </row>
    <row r="32" ht="15.0" customHeight="1">
      <c r="A32" s="6"/>
      <c r="B32" s="126">
        <v>19.0</v>
      </c>
      <c r="C32" s="172" t="str">
        <f>IF('INPUT DATA'!K29="","",'INPUT DATA'!K29)</f>
        <v/>
      </c>
      <c r="D32" s="107"/>
      <c r="E32" s="108"/>
      <c r="F32" s="179" t="str">
        <f>IF('TERM 1'!AC36="","",'TERM 1'!AC36)</f>
        <v/>
      </c>
      <c r="G32" s="179" t="str">
        <f>IF('TERM 2'!AC36="","",'TERM 2'!AC36)</f>
        <v/>
      </c>
      <c r="H32" s="180" t="str">
        <f>IF('TERM 3'!AC36="","",'TERM 3'!AC36)</f>
        <v/>
      </c>
      <c r="I32" s="181" t="str">
        <f t="shared" si="1"/>
        <v/>
      </c>
      <c r="J32" s="182" t="str">
        <f t="array" ref="J32">IF(I32="","",IFERROR(INDEX(HELPER!$G$8:$G$48,MATCH(I32,HELPER!$F$8:$F$48,-1)),""))</f>
        <v/>
      </c>
      <c r="K32" s="141" t="str">
        <f t="shared" si="2"/>
        <v/>
      </c>
      <c r="L32" s="6"/>
      <c r="M32" s="6"/>
    </row>
    <row r="33" ht="15.0" customHeight="1">
      <c r="A33" s="6"/>
      <c r="B33" s="168">
        <v>20.0</v>
      </c>
      <c r="C33" s="172" t="str">
        <f>IF('INPUT DATA'!K30="","",'INPUT DATA'!K30)</f>
        <v/>
      </c>
      <c r="D33" s="107"/>
      <c r="E33" s="108"/>
      <c r="F33" s="179" t="str">
        <f>IF('TERM 1'!AC37="","",'TERM 1'!AC37)</f>
        <v/>
      </c>
      <c r="G33" s="179" t="str">
        <f>IF('TERM 2'!AC37="","",'TERM 2'!AC37)</f>
        <v/>
      </c>
      <c r="H33" s="180" t="str">
        <f>IF('TERM 3'!AC37="","",'TERM 3'!AC37)</f>
        <v/>
      </c>
      <c r="I33" s="181" t="str">
        <f t="shared" si="1"/>
        <v/>
      </c>
      <c r="J33" s="182" t="str">
        <f t="array" ref="J33">IF(I33="","",IFERROR(INDEX(HELPER!$G$8:$G$48,MATCH(I33,HELPER!$F$8:$F$48,-1)),""))</f>
        <v/>
      </c>
      <c r="K33" s="141" t="str">
        <f t="shared" si="2"/>
        <v/>
      </c>
      <c r="L33" s="6"/>
      <c r="M33" s="6"/>
    </row>
    <row r="34" ht="15.0" customHeight="1">
      <c r="A34" s="6"/>
      <c r="B34" s="168">
        <v>21.0</v>
      </c>
      <c r="C34" s="172" t="str">
        <f>IF('INPUT DATA'!K31="","",'INPUT DATA'!K31)</f>
        <v/>
      </c>
      <c r="D34" s="107"/>
      <c r="E34" s="108"/>
      <c r="F34" s="179" t="str">
        <f>IF('TERM 1'!AC38="","",'TERM 1'!AC38)</f>
        <v/>
      </c>
      <c r="G34" s="179" t="str">
        <f>IF('TERM 2'!AC38="","",'TERM 2'!AC38)</f>
        <v/>
      </c>
      <c r="H34" s="180" t="str">
        <f>IF('TERM 3'!AC38="","",'TERM 3'!AC38)</f>
        <v/>
      </c>
      <c r="I34" s="181" t="str">
        <f t="shared" si="1"/>
        <v/>
      </c>
      <c r="J34" s="182" t="str">
        <f t="array" ref="J34">IF(I34="","",IFERROR(INDEX(HELPER!$G$8:$G$48,MATCH(I34,HELPER!$F$8:$F$48,-1)),""))</f>
        <v/>
      </c>
      <c r="K34" s="141" t="str">
        <f t="shared" si="2"/>
        <v/>
      </c>
      <c r="L34" s="6"/>
      <c r="M34" s="6"/>
    </row>
    <row r="35" ht="15.0" customHeight="1">
      <c r="A35" s="6"/>
      <c r="B35" s="168">
        <v>22.0</v>
      </c>
      <c r="C35" s="172" t="str">
        <f>IF('INPUT DATA'!K32="","",'INPUT DATA'!K32)</f>
        <v/>
      </c>
      <c r="D35" s="107"/>
      <c r="E35" s="108"/>
      <c r="F35" s="179" t="str">
        <f>IF('TERM 1'!AC39="","",'TERM 1'!AC39)</f>
        <v/>
      </c>
      <c r="G35" s="179" t="str">
        <f>IF('TERM 2'!AC39="","",'TERM 2'!AC39)</f>
        <v/>
      </c>
      <c r="H35" s="180" t="str">
        <f>IF('TERM 3'!AC39="","",'TERM 3'!AC39)</f>
        <v/>
      </c>
      <c r="I35" s="181" t="str">
        <f t="shared" si="1"/>
        <v/>
      </c>
      <c r="J35" s="182" t="str">
        <f t="array" ref="J35">IF(I35="","",IFERROR(INDEX(HELPER!$G$8:$G$48,MATCH(I35,HELPER!$F$8:$F$48,-1)),""))</f>
        <v/>
      </c>
      <c r="K35" s="141" t="str">
        <f t="shared" si="2"/>
        <v/>
      </c>
      <c r="L35" s="6"/>
      <c r="M35" s="6"/>
    </row>
    <row r="36" ht="15.0" customHeight="1">
      <c r="A36" s="6"/>
      <c r="B36" s="168">
        <v>23.0</v>
      </c>
      <c r="C36" s="172" t="str">
        <f>IF('INPUT DATA'!K33="","",'INPUT DATA'!K33)</f>
        <v/>
      </c>
      <c r="D36" s="107"/>
      <c r="E36" s="108"/>
      <c r="F36" s="179" t="str">
        <f>IF('TERM 1'!AC40="","",'TERM 1'!AC40)</f>
        <v/>
      </c>
      <c r="G36" s="179" t="str">
        <f>IF('TERM 2'!AC40="","",'TERM 2'!AC40)</f>
        <v/>
      </c>
      <c r="H36" s="180" t="str">
        <f>IF('TERM 3'!AC40="","",'TERM 3'!AC40)</f>
        <v/>
      </c>
      <c r="I36" s="181" t="str">
        <f t="shared" si="1"/>
        <v/>
      </c>
      <c r="J36" s="182" t="str">
        <f t="array" ref="J36">IF(I36="","",IFERROR(INDEX(HELPER!$G$8:$G$48,MATCH(I36,HELPER!$F$8:$F$48,-1)),""))</f>
        <v/>
      </c>
      <c r="K36" s="141" t="str">
        <f t="shared" si="2"/>
        <v/>
      </c>
      <c r="L36" s="6"/>
      <c r="M36" s="6"/>
    </row>
    <row r="37" ht="15.0" customHeight="1">
      <c r="A37" s="6"/>
      <c r="B37" s="168">
        <v>24.0</v>
      </c>
      <c r="C37" s="172" t="str">
        <f>IF('INPUT DATA'!K34="","",'INPUT DATA'!K34)</f>
        <v/>
      </c>
      <c r="D37" s="107"/>
      <c r="E37" s="108"/>
      <c r="F37" s="179" t="str">
        <f>IF('TERM 1'!AC41="","",'TERM 1'!AC41)</f>
        <v/>
      </c>
      <c r="G37" s="179" t="str">
        <f>IF('TERM 2'!AC41="","",'TERM 2'!AC41)</f>
        <v/>
      </c>
      <c r="H37" s="180" t="str">
        <f>IF('TERM 3'!AC41="","",'TERM 3'!AC41)</f>
        <v/>
      </c>
      <c r="I37" s="181" t="str">
        <f t="shared" si="1"/>
        <v/>
      </c>
      <c r="J37" s="182" t="str">
        <f t="array" ref="J37">IF(I37="","",IFERROR(INDEX(HELPER!$G$8:$G$48,MATCH(I37,HELPER!$F$8:$F$48,-1)),""))</f>
        <v/>
      </c>
      <c r="K37" s="141" t="str">
        <f t="shared" si="2"/>
        <v/>
      </c>
      <c r="L37" s="6"/>
      <c r="M37" s="6"/>
    </row>
    <row r="38" ht="15.0" customHeight="1">
      <c r="A38" s="6"/>
      <c r="B38" s="168">
        <v>25.0</v>
      </c>
      <c r="C38" s="172" t="str">
        <f>IF('INPUT DATA'!K35="","",'INPUT DATA'!K35)</f>
        <v/>
      </c>
      <c r="D38" s="107"/>
      <c r="E38" s="108"/>
      <c r="F38" s="179" t="str">
        <f>IF('TERM 1'!AC42="","",'TERM 1'!AC42)</f>
        <v/>
      </c>
      <c r="G38" s="179" t="str">
        <f>IF('TERM 2'!AC42="","",'TERM 2'!AC42)</f>
        <v/>
      </c>
      <c r="H38" s="180" t="str">
        <f>IF('TERM 3'!AC42="","",'TERM 3'!AC42)</f>
        <v/>
      </c>
      <c r="I38" s="181" t="str">
        <f t="shared" si="1"/>
        <v/>
      </c>
      <c r="J38" s="182" t="str">
        <f t="array" ref="J38">IF(I38="","",IFERROR(INDEX(HELPER!$G$8:$G$48,MATCH(I38,HELPER!$F$8:$F$48,-1)),""))</f>
        <v/>
      </c>
      <c r="K38" s="141" t="str">
        <f t="shared" si="2"/>
        <v/>
      </c>
      <c r="L38" s="6"/>
      <c r="M38" s="6"/>
    </row>
    <row r="39" ht="15.0" customHeight="1">
      <c r="A39" s="6"/>
      <c r="B39" s="168">
        <v>26.0</v>
      </c>
      <c r="C39" s="172" t="str">
        <f>IF('INPUT DATA'!K36="","",'INPUT DATA'!K36)</f>
        <v/>
      </c>
      <c r="D39" s="107"/>
      <c r="E39" s="108"/>
      <c r="F39" s="179" t="str">
        <f>IF('TERM 1'!AC43="","",'TERM 1'!AC43)</f>
        <v/>
      </c>
      <c r="G39" s="179" t="str">
        <f>IF('TERM 2'!AC43="","",'TERM 2'!AC43)</f>
        <v/>
      </c>
      <c r="H39" s="180" t="str">
        <f>IF('TERM 3'!AC43="","",'TERM 3'!AC43)</f>
        <v/>
      </c>
      <c r="I39" s="181" t="str">
        <f t="shared" si="1"/>
        <v/>
      </c>
      <c r="J39" s="182" t="str">
        <f t="array" ref="J39">IF(I39="","",IFERROR(INDEX(HELPER!$G$8:$G$48,MATCH(I39,HELPER!$F$8:$F$48,-1)),""))</f>
        <v/>
      </c>
      <c r="K39" s="141" t="str">
        <f t="shared" si="2"/>
        <v/>
      </c>
      <c r="L39" s="6"/>
      <c r="M39" s="6"/>
    </row>
    <row r="40" ht="15.0" customHeight="1">
      <c r="A40" s="6"/>
      <c r="B40" s="168">
        <v>27.0</v>
      </c>
      <c r="C40" s="172" t="str">
        <f>IF('INPUT DATA'!K37="","",'INPUT DATA'!K37)</f>
        <v/>
      </c>
      <c r="D40" s="107"/>
      <c r="E40" s="108"/>
      <c r="F40" s="179" t="str">
        <f>IF('TERM 1'!AC44="","",'TERM 1'!AC44)</f>
        <v/>
      </c>
      <c r="G40" s="179" t="str">
        <f>IF('TERM 2'!AC44="","",'TERM 2'!AC44)</f>
        <v/>
      </c>
      <c r="H40" s="180" t="str">
        <f>IF('TERM 3'!AC44="","",'TERM 3'!AC44)</f>
        <v/>
      </c>
      <c r="I40" s="181" t="str">
        <f t="shared" si="1"/>
        <v/>
      </c>
      <c r="J40" s="182" t="str">
        <f t="array" ref="J40">IF(I40="","",IFERROR(INDEX(HELPER!$G$8:$G$48,MATCH(I40,HELPER!$F$8:$F$48,-1)),""))</f>
        <v/>
      </c>
      <c r="K40" s="141" t="str">
        <f t="shared" si="2"/>
        <v/>
      </c>
      <c r="L40" s="6"/>
      <c r="M40" s="6"/>
    </row>
    <row r="41" ht="15.0" customHeight="1">
      <c r="A41" s="6"/>
      <c r="B41" s="168">
        <v>28.0</v>
      </c>
      <c r="C41" s="172" t="str">
        <f>IF('INPUT DATA'!K38="","",'INPUT DATA'!K38)</f>
        <v/>
      </c>
      <c r="D41" s="107"/>
      <c r="E41" s="108"/>
      <c r="F41" s="179" t="str">
        <f>IF('TERM 1'!AC45="","",'TERM 1'!AC45)</f>
        <v/>
      </c>
      <c r="G41" s="179" t="str">
        <f>IF('TERM 2'!AC45="","",'TERM 2'!AC45)</f>
        <v/>
      </c>
      <c r="H41" s="180" t="str">
        <f>IF('TERM 3'!AC45="","",'TERM 3'!AC45)</f>
        <v/>
      </c>
      <c r="I41" s="181" t="str">
        <f t="shared" si="1"/>
        <v/>
      </c>
      <c r="J41" s="182" t="str">
        <f t="array" ref="J41">IF(I41="","",IFERROR(INDEX(HELPER!$G$8:$G$48,MATCH(I41,HELPER!$F$8:$F$48,-1)),""))</f>
        <v/>
      </c>
      <c r="K41" s="141" t="str">
        <f t="shared" si="2"/>
        <v/>
      </c>
      <c r="L41" s="6"/>
      <c r="M41" s="6"/>
    </row>
    <row r="42" ht="15.0" customHeight="1">
      <c r="A42" s="6"/>
      <c r="B42" s="168">
        <v>29.0</v>
      </c>
      <c r="C42" s="172" t="str">
        <f>IF('INPUT DATA'!K39="","",'INPUT DATA'!K39)</f>
        <v/>
      </c>
      <c r="D42" s="107"/>
      <c r="E42" s="108"/>
      <c r="F42" s="179" t="str">
        <f>IF('TERM 1'!AC46="","",'TERM 1'!AC46)</f>
        <v/>
      </c>
      <c r="G42" s="179" t="str">
        <f>IF('TERM 2'!AC46="","",'TERM 2'!AC46)</f>
        <v/>
      </c>
      <c r="H42" s="180" t="str">
        <f>IF('TERM 3'!AC46="","",'TERM 3'!AC46)</f>
        <v/>
      </c>
      <c r="I42" s="181" t="str">
        <f t="shared" si="1"/>
        <v/>
      </c>
      <c r="J42" s="182" t="str">
        <f t="array" ref="J42">IF(I42="","",IFERROR(INDEX(HELPER!$G$8:$G$48,MATCH(I42,HELPER!$F$8:$F$48,-1)),""))</f>
        <v/>
      </c>
      <c r="K42" s="141" t="str">
        <f t="shared" si="2"/>
        <v/>
      </c>
      <c r="L42" s="6"/>
      <c r="M42" s="6"/>
    </row>
    <row r="43" ht="15.0" customHeight="1">
      <c r="A43" s="6"/>
      <c r="B43" s="168">
        <v>30.0</v>
      </c>
      <c r="C43" s="172" t="str">
        <f>IF('INPUT DATA'!K40="","",'INPUT DATA'!K40)</f>
        <v/>
      </c>
      <c r="D43" s="107"/>
      <c r="E43" s="108"/>
      <c r="F43" s="179" t="str">
        <f>IF('TERM 1'!AC47="","",'TERM 1'!AC47)</f>
        <v/>
      </c>
      <c r="G43" s="179" t="str">
        <f>IF('TERM 2'!AC47="","",'TERM 2'!AC47)</f>
        <v/>
      </c>
      <c r="H43" s="180" t="str">
        <f>IF('TERM 3'!AC47="","",'TERM 3'!AC47)</f>
        <v/>
      </c>
      <c r="I43" s="181" t="str">
        <f t="shared" si="1"/>
        <v/>
      </c>
      <c r="J43" s="182" t="str">
        <f t="array" ref="J43">IF(I43="","",IFERROR(INDEX(HELPER!$G$8:$G$48,MATCH(I43,HELPER!$F$8:$F$48,-1)),""))</f>
        <v/>
      </c>
      <c r="K43" s="141" t="str">
        <f t="shared" si="2"/>
        <v/>
      </c>
      <c r="L43" s="6"/>
      <c r="M43" s="6"/>
    </row>
    <row r="44" ht="15.0" customHeight="1">
      <c r="A44" s="6"/>
      <c r="B44" s="168">
        <v>31.0</v>
      </c>
      <c r="C44" s="172" t="str">
        <f>IF('INPUT DATA'!K41="","",'INPUT DATA'!K41)</f>
        <v/>
      </c>
      <c r="D44" s="107"/>
      <c r="E44" s="108"/>
      <c r="F44" s="179" t="str">
        <f>IF('TERM 1'!AC48="","",'TERM 1'!AC48)</f>
        <v/>
      </c>
      <c r="G44" s="179" t="str">
        <f>IF('TERM 2'!AC48="","",'TERM 2'!AC48)</f>
        <v/>
      </c>
      <c r="H44" s="180" t="str">
        <f>IF('TERM 3'!AC48="","",'TERM 3'!AC48)</f>
        <v/>
      </c>
      <c r="I44" s="181" t="str">
        <f t="shared" si="1"/>
        <v/>
      </c>
      <c r="J44" s="182" t="str">
        <f t="array" ref="J44">IF(I44="","",IFERROR(INDEX(HELPER!$G$8:$G$48,MATCH(I44,HELPER!$F$8:$F$48,-1)),""))</f>
        <v/>
      </c>
      <c r="K44" s="141" t="str">
        <f t="shared" si="2"/>
        <v/>
      </c>
      <c r="L44" s="6"/>
      <c r="M44" s="6"/>
    </row>
    <row r="45" ht="15.0" customHeight="1">
      <c r="A45" s="6"/>
      <c r="B45" s="168">
        <v>32.0</v>
      </c>
      <c r="C45" s="172" t="str">
        <f>IF('INPUT DATA'!K42="","",'INPUT DATA'!K42)</f>
        <v/>
      </c>
      <c r="D45" s="107"/>
      <c r="E45" s="108"/>
      <c r="F45" s="179" t="str">
        <f>IF('TERM 1'!AC49="","",'TERM 1'!AC49)</f>
        <v/>
      </c>
      <c r="G45" s="179" t="str">
        <f>IF('TERM 2'!AC49="","",'TERM 2'!AC49)</f>
        <v/>
      </c>
      <c r="H45" s="180" t="str">
        <f>IF('TERM 3'!AC49="","",'TERM 3'!AC49)</f>
        <v/>
      </c>
      <c r="I45" s="181" t="str">
        <f t="shared" si="1"/>
        <v/>
      </c>
      <c r="J45" s="182" t="str">
        <f t="array" ref="J45">IF(I45="","",IFERROR(INDEX(HELPER!$G$8:$G$48,MATCH(I45,HELPER!$F$8:$F$48,-1)),""))</f>
        <v/>
      </c>
      <c r="K45" s="141" t="str">
        <f t="shared" si="2"/>
        <v/>
      </c>
      <c r="L45" s="6"/>
      <c r="M45" s="6"/>
    </row>
    <row r="46" ht="15.0" customHeight="1">
      <c r="A46" s="6"/>
      <c r="B46" s="168">
        <v>33.0</v>
      </c>
      <c r="C46" s="172" t="str">
        <f>IF('INPUT DATA'!K43="","",'INPUT DATA'!K43)</f>
        <v/>
      </c>
      <c r="D46" s="107"/>
      <c r="E46" s="108"/>
      <c r="F46" s="179" t="str">
        <f>IF('TERM 1'!AC50="","",'TERM 1'!AC50)</f>
        <v/>
      </c>
      <c r="G46" s="179" t="str">
        <f>IF('TERM 2'!AC50="","",'TERM 2'!AC50)</f>
        <v/>
      </c>
      <c r="H46" s="180" t="str">
        <f>IF('TERM 3'!AC50="","",'TERM 3'!AC50)</f>
        <v/>
      </c>
      <c r="I46" s="181" t="str">
        <f t="shared" si="1"/>
        <v/>
      </c>
      <c r="J46" s="182" t="str">
        <f t="array" ref="J46">IF(I46="","",IFERROR(INDEX(HELPER!$G$8:$G$48,MATCH(I46,HELPER!$F$8:$F$48,-1)),""))</f>
        <v/>
      </c>
      <c r="K46" s="141" t="str">
        <f t="shared" si="2"/>
        <v/>
      </c>
      <c r="L46" s="6"/>
      <c r="M46" s="6"/>
    </row>
    <row r="47" ht="15.0" customHeight="1">
      <c r="A47" s="6"/>
      <c r="B47" s="168">
        <v>34.0</v>
      </c>
      <c r="C47" s="172" t="str">
        <f>IF('INPUT DATA'!K44="","",'INPUT DATA'!K44)</f>
        <v/>
      </c>
      <c r="D47" s="107"/>
      <c r="E47" s="108"/>
      <c r="F47" s="179" t="str">
        <f>IF('TERM 1'!AC51="","",'TERM 1'!AC51)</f>
        <v/>
      </c>
      <c r="G47" s="179" t="str">
        <f>IF('TERM 2'!AC51="","",'TERM 2'!AC51)</f>
        <v/>
      </c>
      <c r="H47" s="180" t="str">
        <f>IF('TERM 3'!AC51="","",'TERM 3'!AC51)</f>
        <v/>
      </c>
      <c r="I47" s="181" t="str">
        <f t="shared" si="1"/>
        <v/>
      </c>
      <c r="J47" s="182" t="str">
        <f t="array" ref="J47">IF(I47="","",IFERROR(INDEX(HELPER!$G$8:$G$48,MATCH(I47,HELPER!$F$8:$F$48,-1)),""))</f>
        <v/>
      </c>
      <c r="K47" s="141" t="str">
        <f t="shared" si="2"/>
        <v/>
      </c>
      <c r="L47" s="6"/>
      <c r="M47" s="6"/>
    </row>
    <row r="48" ht="15.0" customHeight="1">
      <c r="A48" s="6"/>
      <c r="B48" s="168">
        <v>35.0</v>
      </c>
      <c r="C48" s="172" t="str">
        <f>IF('INPUT DATA'!K45="","",'INPUT DATA'!K45)</f>
        <v/>
      </c>
      <c r="D48" s="107"/>
      <c r="E48" s="108"/>
      <c r="F48" s="179" t="str">
        <f>IF('TERM 1'!AC52="","",'TERM 1'!AC52)</f>
        <v/>
      </c>
      <c r="G48" s="179" t="str">
        <f>IF('TERM 2'!AC52="","",'TERM 2'!AC52)</f>
        <v/>
      </c>
      <c r="H48" s="180" t="str">
        <f>IF('TERM 3'!AC52="","",'TERM 3'!AC52)</f>
        <v/>
      </c>
      <c r="I48" s="181" t="str">
        <f t="shared" si="1"/>
        <v/>
      </c>
      <c r="J48" s="182" t="str">
        <f t="array" ref="J48">IF(I48="","",IFERROR(INDEX(HELPER!$G$8:$G$48,MATCH(I48,HELPER!$F$8:$F$48,-1)),""))</f>
        <v/>
      </c>
      <c r="K48" s="141" t="str">
        <f t="shared" si="2"/>
        <v/>
      </c>
      <c r="L48" s="6"/>
      <c r="M48" s="6"/>
    </row>
    <row r="49" ht="15.0" customHeight="1">
      <c r="A49" s="6"/>
      <c r="B49" s="168">
        <v>36.0</v>
      </c>
      <c r="C49" s="172" t="str">
        <f>IF('INPUT DATA'!K46="","",'INPUT DATA'!K46)</f>
        <v/>
      </c>
      <c r="D49" s="107"/>
      <c r="E49" s="108"/>
      <c r="F49" s="179" t="str">
        <f>IF('TERM 1'!AC53="","",'TERM 1'!AC53)</f>
        <v/>
      </c>
      <c r="G49" s="179" t="str">
        <f>IF('TERM 2'!AC53="","",'TERM 2'!AC53)</f>
        <v/>
      </c>
      <c r="H49" s="180" t="str">
        <f>IF('TERM 3'!AC53="","",'TERM 3'!AC53)</f>
        <v/>
      </c>
      <c r="I49" s="181" t="str">
        <f t="shared" si="1"/>
        <v/>
      </c>
      <c r="J49" s="182" t="str">
        <f t="array" ref="J49">IF(I49="","",IFERROR(INDEX(HELPER!$G$8:$G$48,MATCH(I49,HELPER!$F$8:$F$48,-1)),""))</f>
        <v/>
      </c>
      <c r="K49" s="141" t="str">
        <f t="shared" si="2"/>
        <v/>
      </c>
      <c r="L49" s="6"/>
      <c r="M49" s="6"/>
    </row>
    <row r="50" ht="15.0" customHeight="1">
      <c r="A50" s="6"/>
      <c r="B50" s="168">
        <v>37.0</v>
      </c>
      <c r="C50" s="172" t="str">
        <f>IF('INPUT DATA'!K47="","",'INPUT DATA'!K47)</f>
        <v/>
      </c>
      <c r="D50" s="107"/>
      <c r="E50" s="108"/>
      <c r="F50" s="179" t="str">
        <f>IF('TERM 1'!AC54="","",'TERM 1'!AC54)</f>
        <v/>
      </c>
      <c r="G50" s="179" t="str">
        <f>IF('TERM 2'!AC54="","",'TERM 2'!AC54)</f>
        <v/>
      </c>
      <c r="H50" s="180" t="str">
        <f>IF('TERM 3'!AC54="","",'TERM 3'!AC54)</f>
        <v/>
      </c>
      <c r="I50" s="181" t="str">
        <f t="shared" si="1"/>
        <v/>
      </c>
      <c r="J50" s="182" t="str">
        <f t="array" ref="J50">IF(I50="","",IFERROR(INDEX(HELPER!$G$8:$G$48,MATCH(I50,HELPER!$F$8:$F$48,-1)),""))</f>
        <v/>
      </c>
      <c r="K50" s="141" t="str">
        <f t="shared" si="2"/>
        <v/>
      </c>
      <c r="L50" s="6"/>
      <c r="M50" s="6"/>
    </row>
    <row r="51" ht="15.0" customHeight="1">
      <c r="A51" s="6"/>
      <c r="B51" s="168">
        <v>38.0</v>
      </c>
      <c r="C51" s="172" t="str">
        <f>IF('INPUT DATA'!K48="","",'INPUT DATA'!K48)</f>
        <v/>
      </c>
      <c r="D51" s="107"/>
      <c r="E51" s="108"/>
      <c r="F51" s="179" t="str">
        <f>IF('TERM 1'!AC55="","",'TERM 1'!AC55)</f>
        <v/>
      </c>
      <c r="G51" s="179" t="str">
        <f>IF('TERM 2'!AC55="","",'TERM 2'!AC55)</f>
        <v/>
      </c>
      <c r="H51" s="180" t="str">
        <f>IF('TERM 3'!AC55="","",'TERM 3'!AC55)</f>
        <v/>
      </c>
      <c r="I51" s="181" t="str">
        <f t="shared" si="1"/>
        <v/>
      </c>
      <c r="J51" s="182" t="str">
        <f t="array" ref="J51">IF(I51="","",IFERROR(INDEX(HELPER!$G$8:$G$48,MATCH(I51,HELPER!$F$8:$F$48,-1)),""))</f>
        <v/>
      </c>
      <c r="K51" s="141" t="str">
        <f t="shared" si="2"/>
        <v/>
      </c>
      <c r="L51" s="6"/>
      <c r="M51" s="6"/>
    </row>
    <row r="52" ht="15.0" customHeight="1">
      <c r="A52" s="6"/>
      <c r="B52" s="168">
        <v>39.0</v>
      </c>
      <c r="C52" s="172" t="str">
        <f>IF('INPUT DATA'!K49="","",'INPUT DATA'!K49)</f>
        <v/>
      </c>
      <c r="D52" s="107"/>
      <c r="E52" s="108"/>
      <c r="F52" s="179" t="str">
        <f>IF('TERM 1'!AC56="","",'TERM 1'!AC56)</f>
        <v/>
      </c>
      <c r="G52" s="179" t="str">
        <f>IF('TERM 2'!AC56="","",'TERM 2'!AC56)</f>
        <v/>
      </c>
      <c r="H52" s="180" t="str">
        <f>IF('TERM 3'!AC56="","",'TERM 3'!AC56)</f>
        <v/>
      </c>
      <c r="I52" s="181" t="str">
        <f t="shared" si="1"/>
        <v/>
      </c>
      <c r="J52" s="182" t="str">
        <f t="array" ref="J52">IF(I52="","",IFERROR(INDEX(HELPER!$G$8:$G$48,MATCH(I52,HELPER!$F$8:$F$48,-1)),""))</f>
        <v/>
      </c>
      <c r="K52" s="141" t="str">
        <f t="shared" si="2"/>
        <v/>
      </c>
      <c r="L52" s="6"/>
      <c r="M52" s="6"/>
    </row>
    <row r="53" ht="15.0" customHeight="1">
      <c r="A53" s="6"/>
      <c r="B53" s="168">
        <v>40.0</v>
      </c>
      <c r="C53" s="172" t="str">
        <f>IF('INPUT DATA'!K50="","",'INPUT DATA'!K50)</f>
        <v/>
      </c>
      <c r="D53" s="107"/>
      <c r="E53" s="108"/>
      <c r="F53" s="179" t="str">
        <f>IF('TERM 1'!AC57="","",'TERM 1'!AC57)</f>
        <v/>
      </c>
      <c r="G53" s="179" t="str">
        <f>IF('TERM 2'!AC57="","",'TERM 2'!AC57)</f>
        <v/>
      </c>
      <c r="H53" s="180" t="str">
        <f>IF('TERM 3'!AC57="","",'TERM 3'!AC57)</f>
        <v/>
      </c>
      <c r="I53" s="181" t="str">
        <f t="shared" si="1"/>
        <v/>
      </c>
      <c r="J53" s="182" t="str">
        <f t="array" ref="J53">IF(I53="","",IFERROR(INDEX(HELPER!$G$8:$G$48,MATCH(I53,HELPER!$F$8:$F$48,-1)),""))</f>
        <v/>
      </c>
      <c r="K53" s="141" t="str">
        <f t="shared" si="2"/>
        <v/>
      </c>
      <c r="L53" s="6"/>
      <c r="M53" s="6"/>
    </row>
    <row r="54" ht="15.0" customHeight="1">
      <c r="A54" s="6"/>
      <c r="B54" s="168">
        <v>41.0</v>
      </c>
      <c r="C54" s="172" t="str">
        <f>IF('INPUT DATA'!K51="","",'INPUT DATA'!K51)</f>
        <v/>
      </c>
      <c r="D54" s="107"/>
      <c r="E54" s="108"/>
      <c r="F54" s="179" t="str">
        <f>IF('TERM 1'!AC58="","",'TERM 1'!AC58)</f>
        <v/>
      </c>
      <c r="G54" s="179" t="str">
        <f>IF('TERM 2'!AC58="","",'TERM 2'!AC58)</f>
        <v/>
      </c>
      <c r="H54" s="180" t="str">
        <f>IF('TERM 3'!AC58="","",'TERM 3'!AC58)</f>
        <v/>
      </c>
      <c r="I54" s="181" t="str">
        <f t="shared" si="1"/>
        <v/>
      </c>
      <c r="J54" s="182" t="str">
        <f t="array" ref="J54">IF(I54="","",IFERROR(INDEX(HELPER!$G$8:$G$48,MATCH(I54,HELPER!$F$8:$F$48,-1)),""))</f>
        <v/>
      </c>
      <c r="K54" s="141" t="str">
        <f t="shared" si="2"/>
        <v/>
      </c>
      <c r="L54" s="6"/>
      <c r="M54" s="6"/>
    </row>
    <row r="55" ht="15.0" customHeight="1">
      <c r="A55" s="6"/>
      <c r="B55" s="168">
        <v>42.0</v>
      </c>
      <c r="C55" s="172" t="str">
        <f>IF('INPUT DATA'!K52="","",'INPUT DATA'!K52)</f>
        <v/>
      </c>
      <c r="D55" s="107"/>
      <c r="E55" s="108"/>
      <c r="F55" s="179" t="str">
        <f>IF('TERM 1'!AC59="","",'TERM 1'!AC59)</f>
        <v/>
      </c>
      <c r="G55" s="179" t="str">
        <f>IF('TERM 2'!AC59="","",'TERM 2'!AC59)</f>
        <v/>
      </c>
      <c r="H55" s="180" t="str">
        <f>IF('TERM 3'!AC59="","",'TERM 3'!AC59)</f>
        <v/>
      </c>
      <c r="I55" s="181" t="str">
        <f t="shared" si="1"/>
        <v/>
      </c>
      <c r="J55" s="182" t="str">
        <f t="array" ref="J55">IF(I55="","",IFERROR(INDEX(HELPER!$G$8:$G$48,MATCH(I55,HELPER!$F$8:$F$48,-1)),""))</f>
        <v/>
      </c>
      <c r="K55" s="141" t="str">
        <f t="shared" si="2"/>
        <v/>
      </c>
      <c r="L55" s="6"/>
      <c r="M55" s="6"/>
    </row>
    <row r="56" ht="15.0" customHeight="1">
      <c r="A56" s="6"/>
      <c r="B56" s="168">
        <v>43.0</v>
      </c>
      <c r="C56" s="172" t="str">
        <f>IF('INPUT DATA'!K53="","",'INPUT DATA'!K53)</f>
        <v/>
      </c>
      <c r="D56" s="107"/>
      <c r="E56" s="108"/>
      <c r="F56" s="179" t="str">
        <f>IF('TERM 1'!AC60="","",'TERM 1'!AC60)</f>
        <v/>
      </c>
      <c r="G56" s="179" t="str">
        <f>IF('TERM 2'!AC60="","",'TERM 2'!AC60)</f>
        <v/>
      </c>
      <c r="H56" s="180" t="str">
        <f>IF('TERM 3'!AC60="","",'TERM 3'!AC60)</f>
        <v/>
      </c>
      <c r="I56" s="181" t="str">
        <f t="shared" si="1"/>
        <v/>
      </c>
      <c r="J56" s="182" t="str">
        <f t="array" ref="J56">IF(I56="","",IFERROR(INDEX(HELPER!$G$8:$G$48,MATCH(I56,HELPER!$F$8:$F$48,-1)),""))</f>
        <v/>
      </c>
      <c r="K56" s="141" t="str">
        <f t="shared" si="2"/>
        <v/>
      </c>
      <c r="L56" s="6"/>
      <c r="M56" s="6"/>
    </row>
    <row r="57" ht="15.0" customHeight="1">
      <c r="A57" s="6"/>
      <c r="B57" s="168">
        <v>44.0</v>
      </c>
      <c r="C57" s="172" t="str">
        <f>IF('INPUT DATA'!K54="","",'INPUT DATA'!K54)</f>
        <v/>
      </c>
      <c r="D57" s="107"/>
      <c r="E57" s="108"/>
      <c r="F57" s="179" t="str">
        <f>IF('TERM 1'!AC61="","",'TERM 1'!AC61)</f>
        <v/>
      </c>
      <c r="G57" s="179" t="str">
        <f>IF('TERM 2'!AC61="","",'TERM 2'!AC61)</f>
        <v/>
      </c>
      <c r="H57" s="180" t="str">
        <f>IF('TERM 3'!AC61="","",'TERM 3'!AC61)</f>
        <v/>
      </c>
      <c r="I57" s="181" t="str">
        <f t="shared" si="1"/>
        <v/>
      </c>
      <c r="J57" s="182" t="str">
        <f t="array" ref="J57">IF(I57="","",IFERROR(INDEX(HELPER!$G$8:$G$48,MATCH(I57,HELPER!$F$8:$F$48,-1)),""))</f>
        <v/>
      </c>
      <c r="K57" s="141" t="str">
        <f t="shared" si="2"/>
        <v/>
      </c>
      <c r="L57" s="6"/>
      <c r="M57" s="6"/>
    </row>
    <row r="58" ht="15.0" customHeight="1">
      <c r="A58" s="6"/>
      <c r="B58" s="168">
        <v>45.0</v>
      </c>
      <c r="C58" s="172" t="str">
        <f>IF('INPUT DATA'!K55="","",'INPUT DATA'!K55)</f>
        <v/>
      </c>
      <c r="D58" s="107"/>
      <c r="E58" s="108"/>
      <c r="F58" s="179" t="str">
        <f>IF('TERM 1'!AC62="","",'TERM 1'!AC62)</f>
        <v/>
      </c>
      <c r="G58" s="179" t="str">
        <f>IF('TERM 2'!AC62="","",'TERM 2'!AC62)</f>
        <v/>
      </c>
      <c r="H58" s="180" t="str">
        <f>IF('TERM 3'!AC62="","",'TERM 3'!AC62)</f>
        <v/>
      </c>
      <c r="I58" s="181" t="str">
        <f t="shared" si="1"/>
        <v/>
      </c>
      <c r="J58" s="182" t="str">
        <f t="array" ref="J58">IF(I58="","",IFERROR(INDEX(HELPER!$G$8:$G$48,MATCH(I58,HELPER!$F$8:$F$48,-1)),""))</f>
        <v/>
      </c>
      <c r="K58" s="141" t="str">
        <f t="shared" si="2"/>
        <v/>
      </c>
      <c r="L58" s="6"/>
      <c r="M58" s="6"/>
    </row>
    <row r="59" ht="15.0" customHeight="1">
      <c r="A59" s="6"/>
      <c r="B59" s="168">
        <v>46.0</v>
      </c>
      <c r="C59" s="172" t="str">
        <f>IF('INPUT DATA'!K56="","",'INPUT DATA'!K56)</f>
        <v/>
      </c>
      <c r="D59" s="107"/>
      <c r="E59" s="108"/>
      <c r="F59" s="179" t="str">
        <f>IF('TERM 1'!AC63="","",'TERM 1'!AC63)</f>
        <v/>
      </c>
      <c r="G59" s="179" t="str">
        <f>IF('TERM 2'!AC63="","",'TERM 2'!AC63)</f>
        <v/>
      </c>
      <c r="H59" s="180" t="str">
        <f>IF('TERM 3'!AC63="","",'TERM 3'!AC63)</f>
        <v/>
      </c>
      <c r="I59" s="181" t="str">
        <f t="shared" si="1"/>
        <v/>
      </c>
      <c r="J59" s="182" t="str">
        <f t="array" ref="J59">IF(I59="","",IFERROR(INDEX(HELPER!$G$8:$G$48,MATCH(I59,HELPER!$F$8:$F$48,-1)),""))</f>
        <v/>
      </c>
      <c r="K59" s="141" t="str">
        <f t="shared" si="2"/>
        <v/>
      </c>
      <c r="L59" s="6"/>
      <c r="M59" s="6"/>
    </row>
    <row r="60" ht="15.0" customHeight="1">
      <c r="A60" s="6"/>
      <c r="B60" s="168">
        <v>47.0</v>
      </c>
      <c r="C60" s="172" t="str">
        <f>IF('INPUT DATA'!K57="","",'INPUT DATA'!K57)</f>
        <v/>
      </c>
      <c r="D60" s="107"/>
      <c r="E60" s="108"/>
      <c r="F60" s="179" t="str">
        <f>IF('TERM 1'!AC64="","",'TERM 1'!AC64)</f>
        <v/>
      </c>
      <c r="G60" s="179" t="str">
        <f>IF('TERM 2'!AC64="","",'TERM 2'!AC64)</f>
        <v/>
      </c>
      <c r="H60" s="180" t="str">
        <f>IF('TERM 3'!AC64="","",'TERM 3'!AC64)</f>
        <v/>
      </c>
      <c r="I60" s="181" t="str">
        <f t="shared" si="1"/>
        <v/>
      </c>
      <c r="J60" s="182" t="str">
        <f t="array" ref="J60">IF(I60="","",IFERROR(INDEX(HELPER!$G$8:$G$48,MATCH(I60,HELPER!$F$8:$F$48,-1)),""))</f>
        <v/>
      </c>
      <c r="K60" s="141" t="str">
        <f t="shared" si="2"/>
        <v/>
      </c>
      <c r="L60" s="6"/>
      <c r="M60" s="6"/>
    </row>
    <row r="61" ht="15.0" customHeight="1">
      <c r="A61" s="6"/>
      <c r="B61" s="168">
        <v>48.0</v>
      </c>
      <c r="C61" s="172" t="str">
        <f>IF('INPUT DATA'!K58="","",'INPUT DATA'!K58)</f>
        <v/>
      </c>
      <c r="D61" s="107"/>
      <c r="E61" s="108"/>
      <c r="F61" s="179" t="str">
        <f>IF('TERM 1'!AC65="","",'TERM 1'!AC65)</f>
        <v/>
      </c>
      <c r="G61" s="179" t="str">
        <f>IF('TERM 2'!AC65="","",'TERM 2'!AC65)</f>
        <v/>
      </c>
      <c r="H61" s="180" t="str">
        <f>IF('TERM 3'!AC65="","",'TERM 3'!AC65)</f>
        <v/>
      </c>
      <c r="I61" s="181" t="str">
        <f t="shared" si="1"/>
        <v/>
      </c>
      <c r="J61" s="182" t="str">
        <f t="array" ref="J61">IF(I61="","",IFERROR(INDEX(HELPER!$G$8:$G$48,MATCH(I61,HELPER!$F$8:$F$48,-1)),""))</f>
        <v/>
      </c>
      <c r="K61" s="141" t="str">
        <f t="shared" si="2"/>
        <v/>
      </c>
      <c r="L61" s="6"/>
      <c r="M61" s="6"/>
    </row>
    <row r="62" ht="15.0" customHeight="1">
      <c r="A62" s="6"/>
      <c r="B62" s="168">
        <v>49.0</v>
      </c>
      <c r="C62" s="172" t="str">
        <f>IF('INPUT DATA'!K59="","",'INPUT DATA'!K59)</f>
        <v/>
      </c>
      <c r="D62" s="107"/>
      <c r="E62" s="108"/>
      <c r="F62" s="179" t="str">
        <f>IF('TERM 1'!AC66="","",'TERM 1'!AC66)</f>
        <v/>
      </c>
      <c r="G62" s="179" t="str">
        <f>IF('TERM 2'!AC66="","",'TERM 2'!AC66)</f>
        <v/>
      </c>
      <c r="H62" s="180" t="str">
        <f>IF('TERM 3'!AC66="","",'TERM 3'!AC66)</f>
        <v/>
      </c>
      <c r="I62" s="181" t="str">
        <f t="shared" si="1"/>
        <v/>
      </c>
      <c r="J62" s="182" t="str">
        <f t="array" ref="J62">IF(I62="","",IFERROR(INDEX(HELPER!$G$8:$G$48,MATCH(I62,HELPER!$F$8:$F$48,-1)),""))</f>
        <v/>
      </c>
      <c r="K62" s="141" t="str">
        <f t="shared" si="2"/>
        <v/>
      </c>
      <c r="L62" s="6"/>
      <c r="M62" s="6"/>
    </row>
    <row r="63" ht="15.0" customHeight="1">
      <c r="A63" s="6"/>
      <c r="B63" s="168">
        <v>50.0</v>
      </c>
      <c r="C63" s="205" t="str">
        <f>IF('INPUT DATA'!K60="","",'INPUT DATA'!K60)</f>
        <v/>
      </c>
      <c r="D63" s="206"/>
      <c r="E63" s="207"/>
      <c r="F63" s="208" t="str">
        <f>IF('TERM 1'!AC67="","",'TERM 1'!AC67)</f>
        <v/>
      </c>
      <c r="G63" s="208" t="str">
        <f>IF('TERM 2'!AC67="","",'TERM 2'!AC67)</f>
        <v/>
      </c>
      <c r="H63" s="209" t="str">
        <f>IF('TERM 3'!AC67="","",'TERM 3'!AC67)</f>
        <v/>
      </c>
      <c r="I63" s="210" t="str">
        <f t="shared" si="1"/>
        <v/>
      </c>
      <c r="J63" s="211" t="str">
        <f t="array" ref="J63">IF(I63="","",IFERROR(INDEX(HELPER!$G$8:$G$48,MATCH(I63,HELPER!$F$8:$F$48,-1)),""))</f>
        <v/>
      </c>
      <c r="K63" s="188" t="str">
        <f t="shared" si="2"/>
        <v/>
      </c>
      <c r="L63" s="6"/>
      <c r="M63" s="6"/>
    </row>
    <row r="64" ht="15.75" customHeight="1">
      <c r="A64" s="6"/>
      <c r="B64" s="169" t="s">
        <v>7</v>
      </c>
      <c r="C64" s="29"/>
      <c r="D64" s="29"/>
      <c r="E64" s="29"/>
      <c r="F64" s="29"/>
      <c r="G64" s="29"/>
      <c r="H64" s="29"/>
      <c r="I64" s="29"/>
      <c r="J64" s="29"/>
      <c r="K64" s="31"/>
      <c r="L64" s="6"/>
      <c r="M64" s="6"/>
    </row>
    <row r="65" ht="15.0" customHeight="1">
      <c r="A65" s="6"/>
      <c r="B65" s="212">
        <v>1.0</v>
      </c>
      <c r="C65" s="172" t="str">
        <f>IF('INPUT DATA'!N11="","",'INPUT DATA'!N11)</f>
        <v/>
      </c>
      <c r="D65" s="107"/>
      <c r="E65" s="108"/>
      <c r="F65" s="213" t="str">
        <f>IF('TERM 1'!AC69="","",'TERM 1'!AC69)</f>
        <v/>
      </c>
      <c r="G65" s="174" t="str">
        <f>IF('TERM 2'!AC69="","",'TERM 2'!AC69)</f>
        <v/>
      </c>
      <c r="H65" s="175" t="str">
        <f>IF('TERM 3'!AC69="","",'TERM 3'!AC69)</f>
        <v/>
      </c>
      <c r="I65" s="176" t="str">
        <f t="shared" ref="I65:I114" si="3">IF(COUNT(F65,G65,H65)&lt;3,"",ROUND(AVERAGE(F65,G65,H65),0))</f>
        <v/>
      </c>
      <c r="J65" s="215" t="str">
        <f t="array" ref="J65">IF(I65="","",IFERROR(INDEX(HELPER!$G$8:$G$48,MATCH(I65,HELPER!$F$8:$F$48,-1)),""))</f>
        <v/>
      </c>
      <c r="K65" s="125" t="str">
        <f t="shared" ref="K65:K114" si="4">IF(I65="", "", IF(I65&gt;=75, "Passed", "Failed"))</f>
        <v/>
      </c>
      <c r="L65" s="6"/>
      <c r="M65" s="6"/>
    </row>
    <row r="66" ht="15.0" customHeight="1">
      <c r="A66" s="6"/>
      <c r="B66" s="201">
        <v>2.0</v>
      </c>
      <c r="C66" s="172" t="str">
        <f>IF('INPUT DATA'!N12="","",'INPUT DATA'!N12)</f>
        <v/>
      </c>
      <c r="D66" s="107"/>
      <c r="E66" s="108"/>
      <c r="F66" s="179" t="str">
        <f>IF('TERM 1'!AC70="","",'TERM 1'!AC70)</f>
        <v/>
      </c>
      <c r="G66" s="179" t="str">
        <f>IF('TERM 2'!AC70="","",'TERM 2'!AC70)</f>
        <v/>
      </c>
      <c r="H66" s="180" t="str">
        <f>IF('TERM 3'!AC70="","",'TERM 3'!AC70)</f>
        <v/>
      </c>
      <c r="I66" s="181" t="str">
        <f t="shared" si="3"/>
        <v/>
      </c>
      <c r="J66" s="216" t="str">
        <f t="array" ref="J66">IF(I66="","",IFERROR(INDEX(HELPER!$G$8:$G$48,MATCH(I66,HELPER!$F$8:$F$48,-1)),""))</f>
        <v/>
      </c>
      <c r="K66" s="141" t="str">
        <f t="shared" si="4"/>
        <v/>
      </c>
      <c r="L66" s="6"/>
      <c r="M66" s="6"/>
    </row>
    <row r="67" ht="15.0" customHeight="1">
      <c r="A67" s="6"/>
      <c r="B67" s="201">
        <v>3.0</v>
      </c>
      <c r="C67" s="172" t="str">
        <f>IF('INPUT DATA'!N13="","",'INPUT DATA'!N13)</f>
        <v/>
      </c>
      <c r="D67" s="107"/>
      <c r="E67" s="108"/>
      <c r="F67" s="179" t="str">
        <f>IF('TERM 1'!AC71="","",'TERM 1'!AC71)</f>
        <v/>
      </c>
      <c r="G67" s="179" t="str">
        <f>IF('TERM 2'!AC71="","",'TERM 2'!AC71)</f>
        <v/>
      </c>
      <c r="H67" s="180" t="str">
        <f>IF('TERM 3'!AC71="","",'TERM 3'!AC71)</f>
        <v/>
      </c>
      <c r="I67" s="181" t="str">
        <f t="shared" si="3"/>
        <v/>
      </c>
      <c r="J67" s="216" t="str">
        <f t="array" ref="J67">IF(I67="","",IFERROR(INDEX(HELPER!$G$8:$G$48,MATCH(I67,HELPER!$F$8:$F$48,-1)),""))</f>
        <v/>
      </c>
      <c r="K67" s="141" t="str">
        <f t="shared" si="4"/>
        <v/>
      </c>
      <c r="L67" s="6"/>
      <c r="M67" s="6"/>
    </row>
    <row r="68" ht="15.0" customHeight="1">
      <c r="A68" s="6"/>
      <c r="B68" s="201">
        <v>4.0</v>
      </c>
      <c r="C68" s="172" t="str">
        <f>IF('INPUT DATA'!N14="","",'INPUT DATA'!N14)</f>
        <v/>
      </c>
      <c r="D68" s="107"/>
      <c r="E68" s="108"/>
      <c r="F68" s="179" t="str">
        <f>IF('TERM 1'!AC72="","",'TERM 1'!AC72)</f>
        <v/>
      </c>
      <c r="G68" s="179" t="str">
        <f>IF('TERM 2'!AC72="","",'TERM 2'!AC72)</f>
        <v/>
      </c>
      <c r="H68" s="180" t="str">
        <f>IF('TERM 3'!AC72="","",'TERM 3'!AC72)</f>
        <v/>
      </c>
      <c r="I68" s="181" t="str">
        <f t="shared" si="3"/>
        <v/>
      </c>
      <c r="J68" s="216" t="str">
        <f t="array" ref="J68">IF(I68="","",IFERROR(INDEX(HELPER!$G$8:$G$48,MATCH(I68,HELPER!$F$8:$F$48,-1)),""))</f>
        <v/>
      </c>
      <c r="K68" s="141" t="str">
        <f t="shared" si="4"/>
        <v/>
      </c>
      <c r="L68" s="6"/>
      <c r="M68" s="6"/>
    </row>
    <row r="69" ht="15.0" customHeight="1">
      <c r="A69" s="6"/>
      <c r="B69" s="201">
        <v>5.0</v>
      </c>
      <c r="C69" s="172" t="str">
        <f>IF('INPUT DATA'!N15="","",'INPUT DATA'!N15)</f>
        <v/>
      </c>
      <c r="D69" s="107"/>
      <c r="E69" s="108"/>
      <c r="F69" s="179" t="str">
        <f>IF('TERM 1'!AC73="","",'TERM 1'!AC73)</f>
        <v/>
      </c>
      <c r="G69" s="179" t="str">
        <f>IF('TERM 2'!AC73="","",'TERM 2'!AC73)</f>
        <v/>
      </c>
      <c r="H69" s="180" t="str">
        <f>IF('TERM 3'!AC73="","",'TERM 3'!AC73)</f>
        <v/>
      </c>
      <c r="I69" s="181" t="str">
        <f t="shared" si="3"/>
        <v/>
      </c>
      <c r="J69" s="216" t="str">
        <f t="array" ref="J69">IF(I69="","",IFERROR(INDEX(HELPER!$G$8:$G$48,MATCH(I69,HELPER!$F$8:$F$48,-1)),""))</f>
        <v/>
      </c>
      <c r="K69" s="141" t="str">
        <f t="shared" si="4"/>
        <v/>
      </c>
      <c r="L69" s="6"/>
      <c r="M69" s="6"/>
    </row>
    <row r="70" ht="15.0" customHeight="1">
      <c r="A70" s="6"/>
      <c r="B70" s="201">
        <v>6.0</v>
      </c>
      <c r="C70" s="172" t="str">
        <f>IF('INPUT DATA'!N16="","",'INPUT DATA'!N16)</f>
        <v/>
      </c>
      <c r="D70" s="107"/>
      <c r="E70" s="108"/>
      <c r="F70" s="179" t="str">
        <f>IF('TERM 1'!AC74="","",'TERM 1'!AC74)</f>
        <v/>
      </c>
      <c r="G70" s="179" t="str">
        <f>IF('TERM 2'!AC74="","",'TERM 2'!AC74)</f>
        <v/>
      </c>
      <c r="H70" s="180" t="str">
        <f>IF('TERM 3'!AC74="","",'TERM 3'!AC74)</f>
        <v/>
      </c>
      <c r="I70" s="181" t="str">
        <f t="shared" si="3"/>
        <v/>
      </c>
      <c r="J70" s="216" t="str">
        <f t="array" ref="J70">IF(I70="","",IFERROR(INDEX(HELPER!$G$8:$G$48,MATCH(I70,HELPER!$F$8:$F$48,-1)),""))</f>
        <v/>
      </c>
      <c r="K70" s="141" t="str">
        <f t="shared" si="4"/>
        <v/>
      </c>
      <c r="L70" s="6"/>
      <c r="M70" s="6"/>
    </row>
    <row r="71" ht="15.0" customHeight="1">
      <c r="A71" s="6"/>
      <c r="B71" s="201">
        <v>7.0</v>
      </c>
      <c r="C71" s="172" t="str">
        <f>IF('INPUT DATA'!N17="","",'INPUT DATA'!N17)</f>
        <v/>
      </c>
      <c r="D71" s="107"/>
      <c r="E71" s="108"/>
      <c r="F71" s="179" t="str">
        <f>IF('TERM 1'!AC75="","",'TERM 1'!AC75)</f>
        <v/>
      </c>
      <c r="G71" s="179" t="str">
        <f>IF('TERM 2'!AC75="","",'TERM 2'!AC75)</f>
        <v/>
      </c>
      <c r="H71" s="180" t="str">
        <f>IF('TERM 3'!AC75="","",'TERM 3'!AC75)</f>
        <v/>
      </c>
      <c r="I71" s="181" t="str">
        <f t="shared" si="3"/>
        <v/>
      </c>
      <c r="J71" s="216" t="str">
        <f t="array" ref="J71">IF(I71="","",IFERROR(INDEX(HELPER!$G$8:$G$48,MATCH(I71,HELPER!$F$8:$F$48,-1)),""))</f>
        <v/>
      </c>
      <c r="K71" s="141" t="str">
        <f t="shared" si="4"/>
        <v/>
      </c>
      <c r="L71" s="6"/>
      <c r="M71" s="6"/>
    </row>
    <row r="72" ht="15.0" customHeight="1">
      <c r="A72" s="6"/>
      <c r="B72" s="201">
        <v>8.0</v>
      </c>
      <c r="C72" s="172" t="str">
        <f>IF('INPUT DATA'!N18="","",'INPUT DATA'!N18)</f>
        <v/>
      </c>
      <c r="D72" s="107"/>
      <c r="E72" s="108"/>
      <c r="F72" s="179" t="str">
        <f>IF('TERM 1'!AC76="","",'TERM 1'!AC76)</f>
        <v/>
      </c>
      <c r="G72" s="179" t="str">
        <f>IF('TERM 2'!AC76="","",'TERM 2'!AC76)</f>
        <v/>
      </c>
      <c r="H72" s="180" t="str">
        <f>IF('TERM 3'!AC76="","",'TERM 3'!AC76)</f>
        <v/>
      </c>
      <c r="I72" s="181" t="str">
        <f t="shared" si="3"/>
        <v/>
      </c>
      <c r="J72" s="216" t="str">
        <f t="array" ref="J72">IF(I72="","",IFERROR(INDEX(HELPER!$G$8:$G$48,MATCH(I72,HELPER!$F$8:$F$48,-1)),""))</f>
        <v/>
      </c>
      <c r="K72" s="141" t="str">
        <f t="shared" si="4"/>
        <v/>
      </c>
      <c r="L72" s="6"/>
      <c r="M72" s="6"/>
    </row>
    <row r="73" ht="15.0" customHeight="1">
      <c r="A73" s="6"/>
      <c r="B73" s="201">
        <v>9.0</v>
      </c>
      <c r="C73" s="172" t="str">
        <f>IF('INPUT DATA'!N19="","",'INPUT DATA'!N19)</f>
        <v/>
      </c>
      <c r="D73" s="107"/>
      <c r="E73" s="108"/>
      <c r="F73" s="179" t="str">
        <f>IF('TERM 1'!AC77="","",'TERM 1'!AC77)</f>
        <v/>
      </c>
      <c r="G73" s="179" t="str">
        <f>IF('TERM 2'!AC77="","",'TERM 2'!AC77)</f>
        <v/>
      </c>
      <c r="H73" s="180" t="str">
        <f>IF('TERM 3'!AC77="","",'TERM 3'!AC77)</f>
        <v/>
      </c>
      <c r="I73" s="181" t="str">
        <f t="shared" si="3"/>
        <v/>
      </c>
      <c r="J73" s="216" t="str">
        <f t="array" ref="J73">IF(I73="","",IFERROR(INDEX(HELPER!$G$8:$G$48,MATCH(I73,HELPER!$F$8:$F$48,-1)),""))</f>
        <v/>
      </c>
      <c r="K73" s="141" t="str">
        <f t="shared" si="4"/>
        <v/>
      </c>
      <c r="L73" s="6"/>
      <c r="M73" s="6"/>
    </row>
    <row r="74" ht="15.0" customHeight="1">
      <c r="A74" s="6"/>
      <c r="B74" s="201">
        <v>10.0</v>
      </c>
      <c r="C74" s="172" t="str">
        <f>IF('INPUT DATA'!N20="","",'INPUT DATA'!N20)</f>
        <v/>
      </c>
      <c r="D74" s="107"/>
      <c r="E74" s="108"/>
      <c r="F74" s="179" t="str">
        <f>IF('TERM 1'!AC78="","",'TERM 1'!AC78)</f>
        <v/>
      </c>
      <c r="G74" s="179" t="str">
        <f>IF('TERM 2'!AC78="","",'TERM 2'!AC78)</f>
        <v/>
      </c>
      <c r="H74" s="180" t="str">
        <f>IF('TERM 3'!AC78="","",'TERM 3'!AC78)</f>
        <v/>
      </c>
      <c r="I74" s="181" t="str">
        <f t="shared" si="3"/>
        <v/>
      </c>
      <c r="J74" s="216" t="str">
        <f t="array" ref="J74">IF(I74="","",IFERROR(INDEX(HELPER!$G$8:$G$48,MATCH(I74,HELPER!$F$8:$F$48,-1)),""))</f>
        <v/>
      </c>
      <c r="K74" s="141" t="str">
        <f t="shared" si="4"/>
        <v/>
      </c>
      <c r="L74" s="6"/>
      <c r="M74" s="6"/>
    </row>
    <row r="75" ht="15.0" customHeight="1">
      <c r="A75" s="6"/>
      <c r="B75" s="201">
        <v>11.0</v>
      </c>
      <c r="C75" s="172" t="str">
        <f>IF('INPUT DATA'!N21="","",'INPUT DATA'!N21)</f>
        <v/>
      </c>
      <c r="D75" s="107"/>
      <c r="E75" s="108"/>
      <c r="F75" s="179" t="str">
        <f>IF('TERM 1'!AC79="","",'TERM 1'!AC79)</f>
        <v/>
      </c>
      <c r="G75" s="179" t="str">
        <f>IF('TERM 2'!AC79="","",'TERM 2'!AC79)</f>
        <v/>
      </c>
      <c r="H75" s="180" t="str">
        <f>IF('TERM 3'!AC79="","",'TERM 3'!AC79)</f>
        <v/>
      </c>
      <c r="I75" s="181" t="str">
        <f t="shared" si="3"/>
        <v/>
      </c>
      <c r="J75" s="216" t="str">
        <f t="array" ref="J75">IF(I75="","",IFERROR(INDEX(HELPER!$G$8:$G$48,MATCH(I75,HELPER!$F$8:$F$48,-1)),""))</f>
        <v/>
      </c>
      <c r="K75" s="141" t="str">
        <f t="shared" si="4"/>
        <v/>
      </c>
      <c r="L75" s="6"/>
      <c r="M75" s="6"/>
    </row>
    <row r="76" ht="15.0" customHeight="1">
      <c r="A76" s="6"/>
      <c r="B76" s="201">
        <v>12.0</v>
      </c>
      <c r="C76" s="172" t="str">
        <f>IF('INPUT DATA'!N22="","",'INPUT DATA'!N22)</f>
        <v/>
      </c>
      <c r="D76" s="107"/>
      <c r="E76" s="108"/>
      <c r="F76" s="179" t="str">
        <f>IF('TERM 1'!AC80="","",'TERM 1'!AC80)</f>
        <v/>
      </c>
      <c r="G76" s="179" t="str">
        <f>IF('TERM 2'!AC80="","",'TERM 2'!AC80)</f>
        <v/>
      </c>
      <c r="H76" s="180" t="str">
        <f>IF('TERM 3'!AC80="","",'TERM 3'!AC80)</f>
        <v/>
      </c>
      <c r="I76" s="181" t="str">
        <f t="shared" si="3"/>
        <v/>
      </c>
      <c r="J76" s="216" t="str">
        <f t="array" ref="J76">IF(I76="","",IFERROR(INDEX(HELPER!$G$8:$G$48,MATCH(I76,HELPER!$F$8:$F$48,-1)),""))</f>
        <v/>
      </c>
      <c r="K76" s="141" t="str">
        <f t="shared" si="4"/>
        <v/>
      </c>
      <c r="L76" s="6"/>
      <c r="M76" s="6"/>
    </row>
    <row r="77" ht="15.0" customHeight="1">
      <c r="A77" s="6"/>
      <c r="B77" s="201">
        <v>13.0</v>
      </c>
      <c r="C77" s="172" t="str">
        <f>IF('INPUT DATA'!N23="","",'INPUT DATA'!N23)</f>
        <v/>
      </c>
      <c r="D77" s="107"/>
      <c r="E77" s="108"/>
      <c r="F77" s="179" t="str">
        <f>IF('TERM 1'!AC81="","",'TERM 1'!AC81)</f>
        <v/>
      </c>
      <c r="G77" s="179" t="str">
        <f>IF('TERM 2'!AC81="","",'TERM 2'!AC81)</f>
        <v/>
      </c>
      <c r="H77" s="180" t="str">
        <f>IF('TERM 3'!AC81="","",'TERM 3'!AC81)</f>
        <v/>
      </c>
      <c r="I77" s="181" t="str">
        <f t="shared" si="3"/>
        <v/>
      </c>
      <c r="J77" s="216" t="str">
        <f t="array" ref="J77">IF(I77="","",IFERROR(INDEX(HELPER!$G$8:$G$48,MATCH(I77,HELPER!$F$8:$F$48,-1)),""))</f>
        <v/>
      </c>
      <c r="K77" s="141" t="str">
        <f t="shared" si="4"/>
        <v/>
      </c>
      <c r="L77" s="6"/>
      <c r="M77" s="6"/>
    </row>
    <row r="78" ht="15.0" customHeight="1">
      <c r="A78" s="6"/>
      <c r="B78" s="201">
        <v>14.0</v>
      </c>
      <c r="C78" s="172" t="str">
        <f>IF('INPUT DATA'!N24="","",'INPUT DATA'!N24)</f>
        <v/>
      </c>
      <c r="D78" s="107"/>
      <c r="E78" s="108"/>
      <c r="F78" s="179" t="str">
        <f>IF('TERM 1'!AC82="","",'TERM 1'!AC82)</f>
        <v/>
      </c>
      <c r="G78" s="179" t="str">
        <f>IF('TERM 2'!AC82="","",'TERM 2'!AC82)</f>
        <v/>
      </c>
      <c r="H78" s="180" t="str">
        <f>IF('TERM 3'!AC82="","",'TERM 3'!AC82)</f>
        <v/>
      </c>
      <c r="I78" s="181" t="str">
        <f t="shared" si="3"/>
        <v/>
      </c>
      <c r="J78" s="216" t="str">
        <f t="array" ref="J78">IF(I78="","",IFERROR(INDEX(HELPER!$G$8:$G$48,MATCH(I78,HELPER!$F$8:$F$48,-1)),""))</f>
        <v/>
      </c>
      <c r="K78" s="141" t="str">
        <f t="shared" si="4"/>
        <v/>
      </c>
      <c r="L78" s="6"/>
      <c r="M78" s="6"/>
    </row>
    <row r="79" ht="15.0" customHeight="1">
      <c r="A79" s="6"/>
      <c r="B79" s="201">
        <v>15.0</v>
      </c>
      <c r="C79" s="172" t="str">
        <f>IF('INPUT DATA'!N25="","",'INPUT DATA'!N25)</f>
        <v/>
      </c>
      <c r="D79" s="107"/>
      <c r="E79" s="108"/>
      <c r="F79" s="179" t="str">
        <f>IF('TERM 1'!AC83="","",'TERM 1'!AC83)</f>
        <v/>
      </c>
      <c r="G79" s="179" t="str">
        <f>IF('TERM 2'!AC83="","",'TERM 2'!AC83)</f>
        <v/>
      </c>
      <c r="H79" s="180" t="str">
        <f>IF('TERM 3'!AC83="","",'TERM 3'!AC83)</f>
        <v/>
      </c>
      <c r="I79" s="181" t="str">
        <f t="shared" si="3"/>
        <v/>
      </c>
      <c r="J79" s="216" t="str">
        <f t="array" ref="J79">IF(I79="","",IFERROR(INDEX(HELPER!$G$8:$G$48,MATCH(I79,HELPER!$F$8:$F$48,-1)),""))</f>
        <v/>
      </c>
      <c r="K79" s="141" t="str">
        <f t="shared" si="4"/>
        <v/>
      </c>
      <c r="L79" s="6"/>
      <c r="M79" s="6"/>
    </row>
    <row r="80" ht="15.0" customHeight="1">
      <c r="A80" s="6"/>
      <c r="B80" s="201">
        <v>16.0</v>
      </c>
      <c r="C80" s="172" t="str">
        <f>IF('INPUT DATA'!N26="","",'INPUT DATA'!N26)</f>
        <v/>
      </c>
      <c r="D80" s="107"/>
      <c r="E80" s="108"/>
      <c r="F80" s="179" t="str">
        <f>IF('TERM 1'!AC84="","",'TERM 1'!AC84)</f>
        <v/>
      </c>
      <c r="G80" s="179" t="str">
        <f>IF('TERM 2'!AC84="","",'TERM 2'!AC84)</f>
        <v/>
      </c>
      <c r="H80" s="180" t="str">
        <f>IF('TERM 3'!AC84="","",'TERM 3'!AC84)</f>
        <v/>
      </c>
      <c r="I80" s="181" t="str">
        <f t="shared" si="3"/>
        <v/>
      </c>
      <c r="J80" s="216" t="str">
        <f t="array" ref="J80">IF(I80="","",IFERROR(INDEX(HELPER!$G$8:$G$48,MATCH(I80,HELPER!$F$8:$F$48,-1)),""))</f>
        <v/>
      </c>
      <c r="K80" s="141" t="str">
        <f t="shared" si="4"/>
        <v/>
      </c>
      <c r="L80" s="6"/>
      <c r="M80" s="6"/>
    </row>
    <row r="81" ht="15.0" customHeight="1">
      <c r="A81" s="6"/>
      <c r="B81" s="201">
        <v>17.0</v>
      </c>
      <c r="C81" s="172" t="str">
        <f>IF('INPUT DATA'!N27="","",'INPUT DATA'!N27)</f>
        <v/>
      </c>
      <c r="D81" s="107"/>
      <c r="E81" s="108"/>
      <c r="F81" s="179" t="str">
        <f>IF('TERM 1'!AC85="","",'TERM 1'!AC85)</f>
        <v/>
      </c>
      <c r="G81" s="179" t="str">
        <f>IF('TERM 2'!AC85="","",'TERM 2'!AC85)</f>
        <v/>
      </c>
      <c r="H81" s="180" t="str">
        <f>IF('TERM 3'!AC85="","",'TERM 3'!AC85)</f>
        <v/>
      </c>
      <c r="I81" s="181" t="str">
        <f t="shared" si="3"/>
        <v/>
      </c>
      <c r="J81" s="216" t="str">
        <f t="array" ref="J81">IF(I81="","",IFERROR(INDEX(HELPER!$G$8:$G$48,MATCH(I81,HELPER!$F$8:$F$48,-1)),""))</f>
        <v/>
      </c>
      <c r="K81" s="141" t="str">
        <f t="shared" si="4"/>
        <v/>
      </c>
      <c r="L81" s="6"/>
      <c r="M81" s="6"/>
    </row>
    <row r="82" ht="15.0" customHeight="1">
      <c r="A82" s="6"/>
      <c r="B82" s="201">
        <v>18.0</v>
      </c>
      <c r="C82" s="172" t="str">
        <f>IF('INPUT DATA'!N28="","",'INPUT DATA'!N28)</f>
        <v/>
      </c>
      <c r="D82" s="107"/>
      <c r="E82" s="108"/>
      <c r="F82" s="179" t="str">
        <f>IF('TERM 1'!AC86="","",'TERM 1'!AC86)</f>
        <v/>
      </c>
      <c r="G82" s="179" t="str">
        <f>IF('TERM 2'!AC86="","",'TERM 2'!AC86)</f>
        <v/>
      </c>
      <c r="H82" s="180" t="str">
        <f>IF('TERM 3'!AC86="","",'TERM 3'!AC86)</f>
        <v/>
      </c>
      <c r="I82" s="181" t="str">
        <f t="shared" si="3"/>
        <v/>
      </c>
      <c r="J82" s="216" t="str">
        <f t="array" ref="J82">IF(I82="","",IFERROR(INDEX(HELPER!$G$8:$G$48,MATCH(I82,HELPER!$F$8:$F$48,-1)),""))</f>
        <v/>
      </c>
      <c r="K82" s="141" t="str">
        <f t="shared" si="4"/>
        <v/>
      </c>
      <c r="L82" s="6"/>
      <c r="M82" s="6"/>
    </row>
    <row r="83" ht="15.0" customHeight="1">
      <c r="A83" s="6"/>
      <c r="B83" s="201">
        <v>19.0</v>
      </c>
      <c r="C83" s="172" t="str">
        <f>IF('INPUT DATA'!N29="","",'INPUT DATA'!N29)</f>
        <v/>
      </c>
      <c r="D83" s="107"/>
      <c r="E83" s="108"/>
      <c r="F83" s="179" t="str">
        <f>IF('TERM 1'!AC87="","",'TERM 1'!AC87)</f>
        <v/>
      </c>
      <c r="G83" s="179" t="str">
        <f>IF('TERM 2'!AC87="","",'TERM 2'!AC87)</f>
        <v/>
      </c>
      <c r="H83" s="180" t="str">
        <f>IF('TERM 3'!AC87="","",'TERM 3'!AC87)</f>
        <v/>
      </c>
      <c r="I83" s="181" t="str">
        <f t="shared" si="3"/>
        <v/>
      </c>
      <c r="J83" s="216" t="str">
        <f t="array" ref="J83">IF(I83="","",IFERROR(INDEX(HELPER!$G$8:$G$48,MATCH(I83,HELPER!$F$8:$F$48,-1)),""))</f>
        <v/>
      </c>
      <c r="K83" s="141" t="str">
        <f t="shared" si="4"/>
        <v/>
      </c>
      <c r="L83" s="6"/>
      <c r="M83" s="6"/>
    </row>
    <row r="84" ht="15.0" customHeight="1">
      <c r="A84" s="6"/>
      <c r="B84" s="214">
        <v>20.0</v>
      </c>
      <c r="C84" s="172" t="str">
        <f>IF('INPUT DATA'!N30="","",'INPUT DATA'!N30)</f>
        <v/>
      </c>
      <c r="D84" s="107"/>
      <c r="E84" s="108"/>
      <c r="F84" s="179" t="str">
        <f>IF('TERM 1'!AC88="","",'TERM 1'!AC88)</f>
        <v/>
      </c>
      <c r="G84" s="179" t="str">
        <f>IF('TERM 2'!AC88="","",'TERM 2'!AC88)</f>
        <v/>
      </c>
      <c r="H84" s="180" t="str">
        <f>IF('TERM 3'!AC88="","",'TERM 3'!AC88)</f>
        <v/>
      </c>
      <c r="I84" s="181" t="str">
        <f t="shared" si="3"/>
        <v/>
      </c>
      <c r="J84" s="216" t="str">
        <f t="array" ref="J84">IF(I84="","",IFERROR(INDEX(HELPER!$G$8:$G$48,MATCH(I84,HELPER!$F$8:$F$48,-1)),""))</f>
        <v/>
      </c>
      <c r="K84" s="141" t="str">
        <f t="shared" si="4"/>
        <v/>
      </c>
      <c r="L84" s="6"/>
      <c r="M84" s="6"/>
    </row>
    <row r="85" ht="15.0" customHeight="1">
      <c r="A85" s="6"/>
      <c r="B85" s="214">
        <v>21.0</v>
      </c>
      <c r="C85" s="172" t="str">
        <f>IF('INPUT DATA'!N31="","",'INPUT DATA'!N31)</f>
        <v/>
      </c>
      <c r="D85" s="107"/>
      <c r="E85" s="108"/>
      <c r="F85" s="179" t="str">
        <f>IF('TERM 1'!AC89="","",'TERM 1'!AC89)</f>
        <v/>
      </c>
      <c r="G85" s="179" t="str">
        <f>IF('TERM 2'!AC89="","",'TERM 2'!AC89)</f>
        <v/>
      </c>
      <c r="H85" s="180" t="str">
        <f>IF('TERM 3'!AC89="","",'TERM 3'!AC89)</f>
        <v/>
      </c>
      <c r="I85" s="181" t="str">
        <f t="shared" si="3"/>
        <v/>
      </c>
      <c r="J85" s="216" t="str">
        <f t="array" ref="J85">IF(I85="","",IFERROR(INDEX(HELPER!$G$8:$G$48,MATCH(I85,HELPER!$F$8:$F$48,-1)),""))</f>
        <v/>
      </c>
      <c r="K85" s="141" t="str">
        <f t="shared" si="4"/>
        <v/>
      </c>
      <c r="L85" s="6"/>
      <c r="M85" s="6"/>
    </row>
    <row r="86" ht="15.0" customHeight="1">
      <c r="A86" s="6"/>
      <c r="B86" s="214">
        <v>22.0</v>
      </c>
      <c r="C86" s="172" t="str">
        <f>IF('INPUT DATA'!N32="","",'INPUT DATA'!N32)</f>
        <v/>
      </c>
      <c r="D86" s="107"/>
      <c r="E86" s="108"/>
      <c r="F86" s="179" t="str">
        <f>IF('TERM 1'!AC90="","",'TERM 1'!AC90)</f>
        <v/>
      </c>
      <c r="G86" s="179" t="str">
        <f>IF('TERM 2'!AC90="","",'TERM 2'!AC90)</f>
        <v/>
      </c>
      <c r="H86" s="180" t="str">
        <f>IF('TERM 3'!AC90="","",'TERM 3'!AC90)</f>
        <v/>
      </c>
      <c r="I86" s="181" t="str">
        <f t="shared" si="3"/>
        <v/>
      </c>
      <c r="J86" s="216" t="str">
        <f t="array" ref="J86">IF(I86="","",IFERROR(INDEX(HELPER!$G$8:$G$48,MATCH(I86,HELPER!$F$8:$F$48,-1)),""))</f>
        <v/>
      </c>
      <c r="K86" s="141" t="str">
        <f t="shared" si="4"/>
        <v/>
      </c>
      <c r="L86" s="6"/>
      <c r="M86" s="6"/>
    </row>
    <row r="87" ht="15.0" customHeight="1">
      <c r="A87" s="6"/>
      <c r="B87" s="214">
        <v>23.0</v>
      </c>
      <c r="C87" s="172" t="str">
        <f>IF('INPUT DATA'!N33="","",'INPUT DATA'!N33)</f>
        <v/>
      </c>
      <c r="D87" s="107"/>
      <c r="E87" s="108"/>
      <c r="F87" s="179" t="str">
        <f>IF('TERM 1'!AC91="","",'TERM 1'!AC91)</f>
        <v/>
      </c>
      <c r="G87" s="179" t="str">
        <f>IF('TERM 2'!AC91="","",'TERM 2'!AC91)</f>
        <v/>
      </c>
      <c r="H87" s="180" t="str">
        <f>IF('TERM 3'!AC91="","",'TERM 3'!AC91)</f>
        <v/>
      </c>
      <c r="I87" s="181" t="str">
        <f t="shared" si="3"/>
        <v/>
      </c>
      <c r="J87" s="216" t="str">
        <f t="array" ref="J87">IF(I87="","",IFERROR(INDEX(HELPER!$G$8:$G$48,MATCH(I87,HELPER!$F$8:$F$48,-1)),""))</f>
        <v/>
      </c>
      <c r="K87" s="141" t="str">
        <f t="shared" si="4"/>
        <v/>
      </c>
      <c r="L87" s="6"/>
      <c r="M87" s="6"/>
    </row>
    <row r="88" ht="15.0" customHeight="1">
      <c r="A88" s="6"/>
      <c r="B88" s="214">
        <v>24.0</v>
      </c>
      <c r="C88" s="172" t="str">
        <f>IF('INPUT DATA'!N34="","",'INPUT DATA'!N34)</f>
        <v/>
      </c>
      <c r="D88" s="107"/>
      <c r="E88" s="108"/>
      <c r="F88" s="179" t="str">
        <f>IF('TERM 1'!AC92="","",'TERM 1'!AC92)</f>
        <v/>
      </c>
      <c r="G88" s="179" t="str">
        <f>IF('TERM 2'!AC92="","",'TERM 2'!AC92)</f>
        <v/>
      </c>
      <c r="H88" s="180" t="str">
        <f>IF('TERM 3'!AC92="","",'TERM 3'!AC92)</f>
        <v/>
      </c>
      <c r="I88" s="181" t="str">
        <f t="shared" si="3"/>
        <v/>
      </c>
      <c r="J88" s="216" t="str">
        <f t="array" ref="J88">IF(I88="","",IFERROR(INDEX(HELPER!$G$8:$G$48,MATCH(I88,HELPER!$F$8:$F$48,-1)),""))</f>
        <v/>
      </c>
      <c r="K88" s="141" t="str">
        <f t="shared" si="4"/>
        <v/>
      </c>
      <c r="L88" s="6"/>
      <c r="M88" s="6"/>
    </row>
    <row r="89" ht="15.0" customHeight="1">
      <c r="A89" s="6"/>
      <c r="B89" s="214">
        <v>25.0</v>
      </c>
      <c r="C89" s="172" t="str">
        <f>IF('INPUT DATA'!N35="","",'INPUT DATA'!N35)</f>
        <v/>
      </c>
      <c r="D89" s="107"/>
      <c r="E89" s="108"/>
      <c r="F89" s="179" t="str">
        <f>IF('TERM 1'!AC93="","",'TERM 1'!AC93)</f>
        <v/>
      </c>
      <c r="G89" s="179" t="str">
        <f>IF('TERM 2'!AC93="","",'TERM 2'!AC93)</f>
        <v/>
      </c>
      <c r="H89" s="180" t="str">
        <f>IF('TERM 3'!AC93="","",'TERM 3'!AC93)</f>
        <v/>
      </c>
      <c r="I89" s="181" t="str">
        <f t="shared" si="3"/>
        <v/>
      </c>
      <c r="J89" s="216" t="str">
        <f t="array" ref="J89">IF(I89="","",IFERROR(INDEX(HELPER!$G$8:$G$48,MATCH(I89,HELPER!$F$8:$F$48,-1)),""))</f>
        <v/>
      </c>
      <c r="K89" s="141" t="str">
        <f t="shared" si="4"/>
        <v/>
      </c>
      <c r="L89" s="6"/>
      <c r="M89" s="6"/>
    </row>
    <row r="90" ht="15.0" customHeight="1">
      <c r="A90" s="6"/>
      <c r="B90" s="214">
        <v>26.0</v>
      </c>
      <c r="C90" s="172" t="str">
        <f>IF('INPUT DATA'!N36="","",'INPUT DATA'!N36)</f>
        <v/>
      </c>
      <c r="D90" s="107"/>
      <c r="E90" s="108"/>
      <c r="F90" s="179" t="str">
        <f>IF('TERM 1'!AC94="","",'TERM 1'!AC94)</f>
        <v/>
      </c>
      <c r="G90" s="179" t="str">
        <f>IF('TERM 2'!AC94="","",'TERM 2'!AC94)</f>
        <v/>
      </c>
      <c r="H90" s="180" t="str">
        <f>IF('TERM 3'!AC94="","",'TERM 3'!AC94)</f>
        <v/>
      </c>
      <c r="I90" s="181" t="str">
        <f t="shared" si="3"/>
        <v/>
      </c>
      <c r="J90" s="216" t="str">
        <f t="array" ref="J90">IF(I90="","",IFERROR(INDEX(HELPER!$G$8:$G$48,MATCH(I90,HELPER!$F$8:$F$48,-1)),""))</f>
        <v/>
      </c>
      <c r="K90" s="141" t="str">
        <f t="shared" si="4"/>
        <v/>
      </c>
      <c r="L90" s="6"/>
      <c r="M90" s="6"/>
    </row>
    <row r="91" ht="15.0" customHeight="1">
      <c r="A91" s="6"/>
      <c r="B91" s="214">
        <v>27.0</v>
      </c>
      <c r="C91" s="172" t="str">
        <f>IF('INPUT DATA'!N37="","",'INPUT DATA'!N37)</f>
        <v/>
      </c>
      <c r="D91" s="107"/>
      <c r="E91" s="108"/>
      <c r="F91" s="179" t="str">
        <f>IF('TERM 1'!AC95="","",'TERM 1'!AC95)</f>
        <v/>
      </c>
      <c r="G91" s="179" t="str">
        <f>IF('TERM 2'!AC95="","",'TERM 2'!AC95)</f>
        <v/>
      </c>
      <c r="H91" s="180" t="str">
        <f>IF('TERM 3'!AC95="","",'TERM 3'!AC95)</f>
        <v/>
      </c>
      <c r="I91" s="181" t="str">
        <f t="shared" si="3"/>
        <v/>
      </c>
      <c r="J91" s="216" t="str">
        <f t="array" ref="J91">IF(I91="","",IFERROR(INDEX(HELPER!$G$8:$G$48,MATCH(I91,HELPER!$F$8:$F$48,-1)),""))</f>
        <v/>
      </c>
      <c r="K91" s="141" t="str">
        <f t="shared" si="4"/>
        <v/>
      </c>
      <c r="L91" s="6"/>
      <c r="M91" s="6"/>
    </row>
    <row r="92" ht="15.0" customHeight="1">
      <c r="A92" s="6"/>
      <c r="B92" s="214">
        <v>28.0</v>
      </c>
      <c r="C92" s="172" t="str">
        <f>IF('INPUT DATA'!N38="","",'INPUT DATA'!N38)</f>
        <v/>
      </c>
      <c r="D92" s="107"/>
      <c r="E92" s="108"/>
      <c r="F92" s="179" t="str">
        <f>IF('TERM 1'!AC96="","",'TERM 1'!AC96)</f>
        <v/>
      </c>
      <c r="G92" s="179" t="str">
        <f>IF('TERM 2'!AC96="","",'TERM 2'!AC96)</f>
        <v/>
      </c>
      <c r="H92" s="180" t="str">
        <f>IF('TERM 3'!AC96="","",'TERM 3'!AC96)</f>
        <v/>
      </c>
      <c r="I92" s="181" t="str">
        <f t="shared" si="3"/>
        <v/>
      </c>
      <c r="J92" s="216" t="str">
        <f t="array" ref="J92">IF(I92="","",IFERROR(INDEX(HELPER!$G$8:$G$48,MATCH(I92,HELPER!$F$8:$F$48,-1)),""))</f>
        <v/>
      </c>
      <c r="K92" s="141" t="str">
        <f t="shared" si="4"/>
        <v/>
      </c>
      <c r="L92" s="6"/>
      <c r="M92" s="6"/>
    </row>
    <row r="93" ht="15.0" customHeight="1">
      <c r="A93" s="6"/>
      <c r="B93" s="214">
        <v>29.0</v>
      </c>
      <c r="C93" s="172" t="str">
        <f>IF('INPUT DATA'!N39="","",'INPUT DATA'!N39)</f>
        <v/>
      </c>
      <c r="D93" s="107"/>
      <c r="E93" s="108"/>
      <c r="F93" s="179" t="str">
        <f>IF('TERM 1'!AC97="","",'TERM 1'!AC97)</f>
        <v/>
      </c>
      <c r="G93" s="179" t="str">
        <f>IF('TERM 2'!AC97="","",'TERM 2'!AC97)</f>
        <v/>
      </c>
      <c r="H93" s="180" t="str">
        <f>IF('TERM 3'!AC97="","",'TERM 3'!AC97)</f>
        <v/>
      </c>
      <c r="I93" s="181" t="str">
        <f t="shared" si="3"/>
        <v/>
      </c>
      <c r="J93" s="216" t="str">
        <f t="array" ref="J93">IF(I93="","",IFERROR(INDEX(HELPER!$G$8:$G$48,MATCH(I93,HELPER!$F$8:$F$48,-1)),""))</f>
        <v/>
      </c>
      <c r="K93" s="141" t="str">
        <f t="shared" si="4"/>
        <v/>
      </c>
      <c r="L93" s="6"/>
      <c r="M93" s="6"/>
    </row>
    <row r="94" ht="15.0" customHeight="1">
      <c r="A94" s="6"/>
      <c r="B94" s="214">
        <v>30.0</v>
      </c>
      <c r="C94" s="172" t="str">
        <f>IF('INPUT DATA'!N40="","",'INPUT DATA'!N40)</f>
        <v/>
      </c>
      <c r="D94" s="107"/>
      <c r="E94" s="108"/>
      <c r="F94" s="179" t="str">
        <f>IF('TERM 1'!AC98="","",'TERM 1'!AC98)</f>
        <v/>
      </c>
      <c r="G94" s="179" t="str">
        <f>IF('TERM 2'!AC98="","",'TERM 2'!AC98)</f>
        <v/>
      </c>
      <c r="H94" s="180" t="str">
        <f>IF('TERM 3'!AC98="","",'TERM 3'!AC98)</f>
        <v/>
      </c>
      <c r="I94" s="181" t="str">
        <f t="shared" si="3"/>
        <v/>
      </c>
      <c r="J94" s="216" t="str">
        <f t="array" ref="J94">IF(I94="","",IFERROR(INDEX(HELPER!$G$8:$G$48,MATCH(I94,HELPER!$F$8:$F$48,-1)),""))</f>
        <v/>
      </c>
      <c r="K94" s="141" t="str">
        <f t="shared" si="4"/>
        <v/>
      </c>
      <c r="L94" s="6"/>
      <c r="M94" s="6"/>
    </row>
    <row r="95" ht="15.0" customHeight="1">
      <c r="A95" s="6"/>
      <c r="B95" s="214">
        <v>31.0</v>
      </c>
      <c r="C95" s="172" t="str">
        <f>IF('INPUT DATA'!N41="","",'INPUT DATA'!N41)</f>
        <v/>
      </c>
      <c r="D95" s="107"/>
      <c r="E95" s="108"/>
      <c r="F95" s="179" t="str">
        <f>IF('TERM 1'!AC99="","",'TERM 1'!AC99)</f>
        <v/>
      </c>
      <c r="G95" s="179" t="str">
        <f>IF('TERM 2'!AC99="","",'TERM 2'!AC99)</f>
        <v/>
      </c>
      <c r="H95" s="180" t="str">
        <f>IF('TERM 3'!AC99="","",'TERM 3'!AC99)</f>
        <v/>
      </c>
      <c r="I95" s="181" t="str">
        <f t="shared" si="3"/>
        <v/>
      </c>
      <c r="J95" s="216" t="str">
        <f t="array" ref="J95">IF(I95="","",IFERROR(INDEX(HELPER!$G$8:$G$48,MATCH(I95,HELPER!$F$8:$F$48,-1)),""))</f>
        <v/>
      </c>
      <c r="K95" s="141" t="str">
        <f t="shared" si="4"/>
        <v/>
      </c>
      <c r="L95" s="6"/>
      <c r="M95" s="6"/>
    </row>
    <row r="96" ht="15.0" customHeight="1">
      <c r="A96" s="6"/>
      <c r="B96" s="214">
        <v>32.0</v>
      </c>
      <c r="C96" s="172" t="str">
        <f>IF('INPUT DATA'!N42="","",'INPUT DATA'!N42)</f>
        <v/>
      </c>
      <c r="D96" s="107"/>
      <c r="E96" s="108"/>
      <c r="F96" s="179" t="str">
        <f>IF('TERM 1'!AC100="","",'TERM 1'!AC100)</f>
        <v/>
      </c>
      <c r="G96" s="179" t="str">
        <f>IF('TERM 2'!AC100="","",'TERM 2'!AC100)</f>
        <v/>
      </c>
      <c r="H96" s="180" t="str">
        <f>IF('TERM 3'!AC100="","",'TERM 3'!AC100)</f>
        <v/>
      </c>
      <c r="I96" s="181" t="str">
        <f t="shared" si="3"/>
        <v/>
      </c>
      <c r="J96" s="216" t="str">
        <f t="array" ref="J96">IF(I96="","",IFERROR(INDEX(HELPER!$G$8:$G$48,MATCH(I96,HELPER!$F$8:$F$48,-1)),""))</f>
        <v/>
      </c>
      <c r="K96" s="141" t="str">
        <f t="shared" si="4"/>
        <v/>
      </c>
      <c r="L96" s="6"/>
      <c r="M96" s="6"/>
    </row>
    <row r="97" ht="15.0" customHeight="1">
      <c r="A97" s="6"/>
      <c r="B97" s="214">
        <v>33.0</v>
      </c>
      <c r="C97" s="172" t="str">
        <f>IF('INPUT DATA'!N43="","",'INPUT DATA'!N43)</f>
        <v/>
      </c>
      <c r="D97" s="107"/>
      <c r="E97" s="108"/>
      <c r="F97" s="179" t="str">
        <f>IF('TERM 1'!AC101="","",'TERM 1'!AC101)</f>
        <v/>
      </c>
      <c r="G97" s="179" t="str">
        <f>IF('TERM 2'!AC101="","",'TERM 2'!AC101)</f>
        <v/>
      </c>
      <c r="H97" s="180" t="str">
        <f>IF('TERM 3'!AC101="","",'TERM 3'!AC101)</f>
        <v/>
      </c>
      <c r="I97" s="181" t="str">
        <f t="shared" si="3"/>
        <v/>
      </c>
      <c r="J97" s="216" t="str">
        <f t="array" ref="J97">IF(I97="","",IFERROR(INDEX(HELPER!$G$8:$G$48,MATCH(I97,HELPER!$F$8:$F$48,-1)),""))</f>
        <v/>
      </c>
      <c r="K97" s="141" t="str">
        <f t="shared" si="4"/>
        <v/>
      </c>
      <c r="L97" s="6"/>
      <c r="M97" s="6"/>
    </row>
    <row r="98" ht="15.0" customHeight="1">
      <c r="A98" s="6"/>
      <c r="B98" s="214">
        <v>34.0</v>
      </c>
      <c r="C98" s="172" t="str">
        <f>IF('INPUT DATA'!N44="","",'INPUT DATA'!N44)</f>
        <v/>
      </c>
      <c r="D98" s="107"/>
      <c r="E98" s="108"/>
      <c r="F98" s="179" t="str">
        <f>IF('TERM 1'!AC102="","",'TERM 1'!AC102)</f>
        <v/>
      </c>
      <c r="G98" s="179" t="str">
        <f>IF('TERM 2'!AC102="","",'TERM 2'!AC102)</f>
        <v/>
      </c>
      <c r="H98" s="180" t="str">
        <f>IF('TERM 3'!AC102="","",'TERM 3'!AC102)</f>
        <v/>
      </c>
      <c r="I98" s="181" t="str">
        <f t="shared" si="3"/>
        <v/>
      </c>
      <c r="J98" s="216" t="str">
        <f t="array" ref="J98">IF(I98="","",IFERROR(INDEX(HELPER!$G$8:$G$48,MATCH(I98,HELPER!$F$8:$F$48,-1)),""))</f>
        <v/>
      </c>
      <c r="K98" s="141" t="str">
        <f t="shared" si="4"/>
        <v/>
      </c>
      <c r="L98" s="6"/>
      <c r="M98" s="6"/>
    </row>
    <row r="99" ht="15.0" customHeight="1">
      <c r="A99" s="6"/>
      <c r="B99" s="214">
        <v>35.0</v>
      </c>
      <c r="C99" s="172" t="str">
        <f>IF('INPUT DATA'!N45="","",'INPUT DATA'!N45)</f>
        <v/>
      </c>
      <c r="D99" s="107"/>
      <c r="E99" s="108"/>
      <c r="F99" s="179" t="str">
        <f>IF('TERM 1'!AC103="","",'TERM 1'!AC103)</f>
        <v/>
      </c>
      <c r="G99" s="179" t="str">
        <f>IF('TERM 2'!AC103="","",'TERM 2'!AC103)</f>
        <v/>
      </c>
      <c r="H99" s="180" t="str">
        <f>IF('TERM 3'!AC103="","",'TERM 3'!AC103)</f>
        <v/>
      </c>
      <c r="I99" s="181" t="str">
        <f t="shared" si="3"/>
        <v/>
      </c>
      <c r="J99" s="216" t="str">
        <f t="array" ref="J99">IF(I99="","",IFERROR(INDEX(HELPER!$G$8:$G$48,MATCH(I99,HELPER!$F$8:$F$48,-1)),""))</f>
        <v/>
      </c>
      <c r="K99" s="141" t="str">
        <f t="shared" si="4"/>
        <v/>
      </c>
      <c r="L99" s="6"/>
      <c r="M99" s="6"/>
    </row>
    <row r="100" ht="15.0" customHeight="1">
      <c r="A100" s="6"/>
      <c r="B100" s="214">
        <v>36.0</v>
      </c>
      <c r="C100" s="172" t="str">
        <f>IF('INPUT DATA'!N46="","",'INPUT DATA'!N46)</f>
        <v/>
      </c>
      <c r="D100" s="107"/>
      <c r="E100" s="108"/>
      <c r="F100" s="179" t="str">
        <f>IF('TERM 1'!AC104="","",'TERM 1'!AC104)</f>
        <v/>
      </c>
      <c r="G100" s="179" t="str">
        <f>IF('TERM 2'!AC104="","",'TERM 2'!AC104)</f>
        <v/>
      </c>
      <c r="H100" s="180" t="str">
        <f>IF('TERM 3'!AC104="","",'TERM 3'!AC104)</f>
        <v/>
      </c>
      <c r="I100" s="181" t="str">
        <f t="shared" si="3"/>
        <v/>
      </c>
      <c r="J100" s="216" t="str">
        <f t="array" ref="J100">IF(I100="","",IFERROR(INDEX(HELPER!$G$8:$G$48,MATCH(I100,HELPER!$F$8:$F$48,-1)),""))</f>
        <v/>
      </c>
      <c r="K100" s="141" t="str">
        <f t="shared" si="4"/>
        <v/>
      </c>
      <c r="L100" s="6"/>
      <c r="M100" s="6"/>
    </row>
    <row r="101" ht="15.0" customHeight="1">
      <c r="A101" s="6"/>
      <c r="B101" s="214">
        <v>37.0</v>
      </c>
      <c r="C101" s="172" t="str">
        <f>IF('INPUT DATA'!N47="","",'INPUT DATA'!N47)</f>
        <v/>
      </c>
      <c r="D101" s="107"/>
      <c r="E101" s="108"/>
      <c r="F101" s="179" t="str">
        <f>IF('TERM 1'!AC105="","",'TERM 1'!AC105)</f>
        <v/>
      </c>
      <c r="G101" s="179" t="str">
        <f>IF('TERM 2'!AC105="","",'TERM 2'!AC105)</f>
        <v/>
      </c>
      <c r="H101" s="180" t="str">
        <f>IF('TERM 3'!AC105="","",'TERM 3'!AC105)</f>
        <v/>
      </c>
      <c r="I101" s="181" t="str">
        <f t="shared" si="3"/>
        <v/>
      </c>
      <c r="J101" s="216" t="str">
        <f t="array" ref="J101">IF(I101="","",IFERROR(INDEX(HELPER!$G$8:$G$48,MATCH(I101,HELPER!$F$8:$F$48,-1)),""))</f>
        <v/>
      </c>
      <c r="K101" s="141" t="str">
        <f t="shared" si="4"/>
        <v/>
      </c>
      <c r="L101" s="6"/>
      <c r="M101" s="6"/>
    </row>
    <row r="102" ht="15.0" customHeight="1">
      <c r="A102" s="6"/>
      <c r="B102" s="214">
        <v>38.0</v>
      </c>
      <c r="C102" s="172" t="str">
        <f>IF('INPUT DATA'!N48="","",'INPUT DATA'!N48)</f>
        <v/>
      </c>
      <c r="D102" s="107"/>
      <c r="E102" s="108"/>
      <c r="F102" s="179" t="str">
        <f>IF('TERM 1'!AC106="","",'TERM 1'!AC106)</f>
        <v/>
      </c>
      <c r="G102" s="179" t="str">
        <f>IF('TERM 2'!AC106="","",'TERM 2'!AC106)</f>
        <v/>
      </c>
      <c r="H102" s="180" t="str">
        <f>IF('TERM 3'!AC106="","",'TERM 3'!AC106)</f>
        <v/>
      </c>
      <c r="I102" s="181" t="str">
        <f t="shared" si="3"/>
        <v/>
      </c>
      <c r="J102" s="216" t="str">
        <f t="array" ref="J102">IF(I102="","",IFERROR(INDEX(HELPER!$G$8:$G$48,MATCH(I102,HELPER!$F$8:$F$48,-1)),""))</f>
        <v/>
      </c>
      <c r="K102" s="141" t="str">
        <f t="shared" si="4"/>
        <v/>
      </c>
      <c r="L102" s="6"/>
      <c r="M102" s="6"/>
    </row>
    <row r="103" ht="15.0" customHeight="1">
      <c r="A103" s="6"/>
      <c r="B103" s="214">
        <v>39.0</v>
      </c>
      <c r="C103" s="172" t="str">
        <f>IF('INPUT DATA'!N49="","",'INPUT DATA'!N49)</f>
        <v/>
      </c>
      <c r="D103" s="107"/>
      <c r="E103" s="108"/>
      <c r="F103" s="179" t="str">
        <f>IF('TERM 1'!AC107="","",'TERM 1'!AC107)</f>
        <v/>
      </c>
      <c r="G103" s="179" t="str">
        <f>IF('TERM 2'!AC107="","",'TERM 2'!AC107)</f>
        <v/>
      </c>
      <c r="H103" s="180" t="str">
        <f>IF('TERM 3'!AC107="","",'TERM 3'!AC107)</f>
        <v/>
      </c>
      <c r="I103" s="181" t="str">
        <f t="shared" si="3"/>
        <v/>
      </c>
      <c r="J103" s="216" t="str">
        <f t="array" ref="J103">IF(I103="","",IFERROR(INDEX(HELPER!$G$8:$G$48,MATCH(I103,HELPER!$F$8:$F$48,-1)),""))</f>
        <v/>
      </c>
      <c r="K103" s="141" t="str">
        <f t="shared" si="4"/>
        <v/>
      </c>
      <c r="L103" s="6"/>
      <c r="M103" s="6"/>
    </row>
    <row r="104" ht="15.0" customHeight="1">
      <c r="A104" s="6"/>
      <c r="B104" s="214">
        <v>40.0</v>
      </c>
      <c r="C104" s="172" t="str">
        <f>IF('INPUT DATA'!N50="","",'INPUT DATA'!N50)</f>
        <v/>
      </c>
      <c r="D104" s="107"/>
      <c r="E104" s="108"/>
      <c r="F104" s="179" t="str">
        <f>IF('TERM 1'!AC108="","",'TERM 1'!AC108)</f>
        <v/>
      </c>
      <c r="G104" s="179" t="str">
        <f>IF('TERM 2'!AC108="","",'TERM 2'!AC108)</f>
        <v/>
      </c>
      <c r="H104" s="180" t="str">
        <f>IF('TERM 3'!AC108="","",'TERM 3'!AC108)</f>
        <v/>
      </c>
      <c r="I104" s="181" t="str">
        <f t="shared" si="3"/>
        <v/>
      </c>
      <c r="J104" s="216" t="str">
        <f t="array" ref="J104">IF(I104="","",IFERROR(INDEX(HELPER!$G$8:$G$48,MATCH(I104,HELPER!$F$8:$F$48,-1)),""))</f>
        <v/>
      </c>
      <c r="K104" s="141" t="str">
        <f t="shared" si="4"/>
        <v/>
      </c>
      <c r="L104" s="6"/>
      <c r="M104" s="6"/>
    </row>
    <row r="105" ht="15.0" customHeight="1">
      <c r="A105" s="6"/>
      <c r="B105" s="214">
        <v>41.0</v>
      </c>
      <c r="C105" s="172" t="str">
        <f>IF('INPUT DATA'!N51="","",'INPUT DATA'!N51)</f>
        <v/>
      </c>
      <c r="D105" s="107"/>
      <c r="E105" s="108"/>
      <c r="F105" s="179" t="str">
        <f>IF('TERM 1'!AC109="","",'TERM 1'!AC109)</f>
        <v/>
      </c>
      <c r="G105" s="179" t="str">
        <f>IF('TERM 2'!AC109="","",'TERM 2'!AC109)</f>
        <v/>
      </c>
      <c r="H105" s="180" t="str">
        <f>IF('TERM 3'!AC109="","",'TERM 3'!AC109)</f>
        <v/>
      </c>
      <c r="I105" s="181" t="str">
        <f t="shared" si="3"/>
        <v/>
      </c>
      <c r="J105" s="216" t="str">
        <f t="array" ref="J105">IF(I105="","",IFERROR(INDEX(HELPER!$G$8:$G$48,MATCH(I105,HELPER!$F$8:$F$48,-1)),""))</f>
        <v/>
      </c>
      <c r="K105" s="141" t="str">
        <f t="shared" si="4"/>
        <v/>
      </c>
      <c r="L105" s="6"/>
      <c r="M105" s="6"/>
    </row>
    <row r="106" ht="15.0" customHeight="1">
      <c r="A106" s="6"/>
      <c r="B106" s="214">
        <v>42.0</v>
      </c>
      <c r="C106" s="172" t="str">
        <f>IF('INPUT DATA'!N52="","",'INPUT DATA'!N52)</f>
        <v/>
      </c>
      <c r="D106" s="107"/>
      <c r="E106" s="108"/>
      <c r="F106" s="179" t="str">
        <f>IF('TERM 1'!AC110="","",'TERM 1'!AC110)</f>
        <v/>
      </c>
      <c r="G106" s="179" t="str">
        <f>IF('TERM 2'!AC110="","",'TERM 2'!AC110)</f>
        <v/>
      </c>
      <c r="H106" s="180" t="str">
        <f>IF('TERM 3'!AC110="","",'TERM 3'!AC110)</f>
        <v/>
      </c>
      <c r="I106" s="181" t="str">
        <f t="shared" si="3"/>
        <v/>
      </c>
      <c r="J106" s="216" t="str">
        <f t="array" ref="J106">IF(I106="","",IFERROR(INDEX(HELPER!$G$8:$G$48,MATCH(I106,HELPER!$F$8:$F$48,-1)),""))</f>
        <v/>
      </c>
      <c r="K106" s="141" t="str">
        <f t="shared" si="4"/>
        <v/>
      </c>
      <c r="L106" s="6"/>
      <c r="M106" s="6"/>
    </row>
    <row r="107" ht="15.0" customHeight="1">
      <c r="A107" s="6"/>
      <c r="B107" s="214">
        <v>43.0</v>
      </c>
      <c r="C107" s="172" t="str">
        <f>IF('INPUT DATA'!N53="","",'INPUT DATA'!N53)</f>
        <v/>
      </c>
      <c r="D107" s="107"/>
      <c r="E107" s="108"/>
      <c r="F107" s="179" t="str">
        <f>IF('TERM 1'!AC111="","",'TERM 1'!AC111)</f>
        <v/>
      </c>
      <c r="G107" s="179" t="str">
        <f>IF('TERM 2'!AC111="","",'TERM 2'!AC111)</f>
        <v/>
      </c>
      <c r="H107" s="180" t="str">
        <f>IF('TERM 3'!AC111="","",'TERM 3'!AC111)</f>
        <v/>
      </c>
      <c r="I107" s="181" t="str">
        <f t="shared" si="3"/>
        <v/>
      </c>
      <c r="J107" s="216" t="str">
        <f t="array" ref="J107">IF(I107="","",IFERROR(INDEX(HELPER!$G$8:$G$48,MATCH(I107,HELPER!$F$8:$F$48,-1)),""))</f>
        <v/>
      </c>
      <c r="K107" s="141" t="str">
        <f t="shared" si="4"/>
        <v/>
      </c>
      <c r="L107" s="6"/>
      <c r="M107" s="6"/>
    </row>
    <row r="108" ht="15.0" customHeight="1">
      <c r="A108" s="6"/>
      <c r="B108" s="214">
        <v>44.0</v>
      </c>
      <c r="C108" s="172" t="str">
        <f>IF('INPUT DATA'!N54="","",'INPUT DATA'!N54)</f>
        <v/>
      </c>
      <c r="D108" s="107"/>
      <c r="E108" s="108"/>
      <c r="F108" s="179" t="str">
        <f>IF('TERM 1'!AC112="","",'TERM 1'!AC112)</f>
        <v/>
      </c>
      <c r="G108" s="179" t="str">
        <f>IF('TERM 2'!AC112="","",'TERM 2'!AC112)</f>
        <v/>
      </c>
      <c r="H108" s="180" t="str">
        <f>IF('TERM 3'!AC112="","",'TERM 3'!AC112)</f>
        <v/>
      </c>
      <c r="I108" s="181" t="str">
        <f t="shared" si="3"/>
        <v/>
      </c>
      <c r="J108" s="216" t="str">
        <f t="array" ref="J108">IF(I108="","",IFERROR(INDEX(HELPER!$G$8:$G$48,MATCH(I108,HELPER!$F$8:$F$48,-1)),""))</f>
        <v/>
      </c>
      <c r="K108" s="141" t="str">
        <f t="shared" si="4"/>
        <v/>
      </c>
      <c r="L108" s="6"/>
      <c r="M108" s="6"/>
    </row>
    <row r="109" ht="15.0" customHeight="1">
      <c r="A109" s="6"/>
      <c r="B109" s="214">
        <v>45.0</v>
      </c>
      <c r="C109" s="172" t="str">
        <f>IF('INPUT DATA'!N55="","",'INPUT DATA'!N55)</f>
        <v/>
      </c>
      <c r="D109" s="107"/>
      <c r="E109" s="108"/>
      <c r="F109" s="179" t="str">
        <f>IF('TERM 1'!AC113="","",'TERM 1'!AC113)</f>
        <v/>
      </c>
      <c r="G109" s="179" t="str">
        <f>IF('TERM 2'!AC113="","",'TERM 2'!AC113)</f>
        <v/>
      </c>
      <c r="H109" s="180" t="str">
        <f>IF('TERM 3'!AC113="","",'TERM 3'!AC113)</f>
        <v/>
      </c>
      <c r="I109" s="181" t="str">
        <f t="shared" si="3"/>
        <v/>
      </c>
      <c r="J109" s="216" t="str">
        <f t="array" ref="J109">IF(I109="","",IFERROR(INDEX(HELPER!$G$8:$G$48,MATCH(I109,HELPER!$F$8:$F$48,-1)),""))</f>
        <v/>
      </c>
      <c r="K109" s="141" t="str">
        <f t="shared" si="4"/>
        <v/>
      </c>
      <c r="L109" s="6"/>
      <c r="M109" s="6"/>
    </row>
    <row r="110" ht="15.0" customHeight="1">
      <c r="A110" s="6"/>
      <c r="B110" s="214">
        <v>46.0</v>
      </c>
      <c r="C110" s="172" t="str">
        <f>IF('INPUT DATA'!N56="","",'INPUT DATA'!N56)</f>
        <v/>
      </c>
      <c r="D110" s="107"/>
      <c r="E110" s="108"/>
      <c r="F110" s="179" t="str">
        <f>IF('TERM 1'!AC114="","",'TERM 1'!AC114)</f>
        <v/>
      </c>
      <c r="G110" s="179" t="str">
        <f>IF('TERM 2'!AC114="","",'TERM 2'!AC114)</f>
        <v/>
      </c>
      <c r="H110" s="180" t="str">
        <f>IF('TERM 3'!AC114="","",'TERM 3'!AC114)</f>
        <v/>
      </c>
      <c r="I110" s="181" t="str">
        <f t="shared" si="3"/>
        <v/>
      </c>
      <c r="J110" s="216" t="str">
        <f t="array" ref="J110">IF(I110="","",IFERROR(INDEX(HELPER!$G$8:$G$48,MATCH(I110,HELPER!$F$8:$F$48,-1)),""))</f>
        <v/>
      </c>
      <c r="K110" s="141" t="str">
        <f t="shared" si="4"/>
        <v/>
      </c>
      <c r="L110" s="6"/>
      <c r="M110" s="6"/>
    </row>
    <row r="111" ht="15.0" customHeight="1">
      <c r="A111" s="6"/>
      <c r="B111" s="214">
        <v>47.0</v>
      </c>
      <c r="C111" s="172" t="str">
        <f>IF('INPUT DATA'!N57="","",'INPUT DATA'!N57)</f>
        <v/>
      </c>
      <c r="D111" s="107"/>
      <c r="E111" s="108"/>
      <c r="F111" s="179" t="str">
        <f>IF('TERM 1'!AC115="","",'TERM 1'!AC115)</f>
        <v/>
      </c>
      <c r="G111" s="179" t="str">
        <f>IF('TERM 2'!AC115="","",'TERM 2'!AC115)</f>
        <v/>
      </c>
      <c r="H111" s="180" t="str">
        <f>IF('TERM 3'!AC115="","",'TERM 3'!AC115)</f>
        <v/>
      </c>
      <c r="I111" s="181" t="str">
        <f t="shared" si="3"/>
        <v/>
      </c>
      <c r="J111" s="216" t="str">
        <f t="array" ref="J111">IF(I111="","",IFERROR(INDEX(HELPER!$G$8:$G$48,MATCH(I111,HELPER!$F$8:$F$48,-1)),""))</f>
        <v/>
      </c>
      <c r="K111" s="141" t="str">
        <f t="shared" si="4"/>
        <v/>
      </c>
      <c r="L111" s="6"/>
      <c r="M111" s="6"/>
    </row>
    <row r="112" ht="15.0" customHeight="1">
      <c r="A112" s="6"/>
      <c r="B112" s="214">
        <v>48.0</v>
      </c>
      <c r="C112" s="172" t="str">
        <f>IF('INPUT DATA'!N58="","",'INPUT DATA'!N58)</f>
        <v/>
      </c>
      <c r="D112" s="107"/>
      <c r="E112" s="108"/>
      <c r="F112" s="179" t="str">
        <f>IF('TERM 1'!AC116="","",'TERM 1'!AC116)</f>
        <v/>
      </c>
      <c r="G112" s="179" t="str">
        <f>IF('TERM 2'!AC116="","",'TERM 2'!AC116)</f>
        <v/>
      </c>
      <c r="H112" s="180" t="str">
        <f>IF('TERM 3'!AC116="","",'TERM 3'!AC116)</f>
        <v/>
      </c>
      <c r="I112" s="181" t="str">
        <f t="shared" si="3"/>
        <v/>
      </c>
      <c r="J112" s="216" t="str">
        <f t="array" ref="J112">IF(I112="","",IFERROR(INDEX(HELPER!$G$8:$G$48,MATCH(I112,HELPER!$F$8:$F$48,-1)),""))</f>
        <v/>
      </c>
      <c r="K112" s="141" t="str">
        <f t="shared" si="4"/>
        <v/>
      </c>
      <c r="L112" s="6"/>
      <c r="M112" s="6"/>
    </row>
    <row r="113" ht="15.0" customHeight="1">
      <c r="A113" s="6"/>
      <c r="B113" s="214">
        <v>49.0</v>
      </c>
      <c r="C113" s="172" t="str">
        <f>IF('INPUT DATA'!N59="","",'INPUT DATA'!N59)</f>
        <v/>
      </c>
      <c r="D113" s="107"/>
      <c r="E113" s="108"/>
      <c r="F113" s="179" t="str">
        <f>IF('TERM 1'!AC117="","",'TERM 1'!AC117)</f>
        <v/>
      </c>
      <c r="G113" s="179" t="str">
        <f>IF('TERM 2'!AC117="","",'TERM 2'!AC117)</f>
        <v/>
      </c>
      <c r="H113" s="180" t="str">
        <f>IF('TERM 3'!AC117="","",'TERM 3'!AC117)</f>
        <v/>
      </c>
      <c r="I113" s="181" t="str">
        <f t="shared" si="3"/>
        <v/>
      </c>
      <c r="J113" s="216" t="str">
        <f t="array" ref="J113">IF(I113="","",IFERROR(INDEX(HELPER!$G$8:$G$48,MATCH(I113,HELPER!$F$8:$F$48,-1)),""))</f>
        <v/>
      </c>
      <c r="K113" s="141" t="str">
        <f t="shared" si="4"/>
        <v/>
      </c>
      <c r="L113" s="6"/>
      <c r="M113" s="6"/>
    </row>
    <row r="114" ht="15.0" customHeight="1">
      <c r="A114" s="6"/>
      <c r="B114" s="220">
        <v>50.0</v>
      </c>
      <c r="C114" s="231" t="str">
        <f>IF('INPUT DATA'!N60="","",'INPUT DATA'!N60)</f>
        <v/>
      </c>
      <c r="D114" s="222"/>
      <c r="E114" s="223"/>
      <c r="F114" s="208" t="str">
        <f>IF('TERM 1'!AC118="","",'TERM 1'!AC118)</f>
        <v/>
      </c>
      <c r="G114" s="208" t="str">
        <f>IF('TERM 2'!AC118="","",'TERM 2'!AC118)</f>
        <v/>
      </c>
      <c r="H114" s="209" t="str">
        <f>IF('TERM 3'!AC118="","",'TERM 3'!AC118)</f>
        <v/>
      </c>
      <c r="I114" s="210" t="str">
        <f t="shared" si="3"/>
        <v/>
      </c>
      <c r="J114" s="232" t="str">
        <f t="array" ref="J114">IF(I114="","",IFERROR(INDEX(HELPER!$G$8:$G$48,MATCH(I114,HELPER!$F$8:$F$48,-1)),""))</f>
        <v/>
      </c>
      <c r="K114" s="188" t="str">
        <f t="shared" si="4"/>
        <v/>
      </c>
      <c r="L114" s="6"/>
      <c r="M114" s="6"/>
    </row>
    <row r="115" ht="15.75" customHeight="1">
      <c r="A115" s="6"/>
      <c r="B115" s="6"/>
      <c r="C115" s="6"/>
      <c r="F115" s="6"/>
      <c r="G115" s="6"/>
      <c r="H115" s="6"/>
      <c r="I115" s="6"/>
      <c r="J115" s="6"/>
      <c r="K115" s="6"/>
      <c r="L115" s="6"/>
      <c r="M115" s="6"/>
    </row>
    <row r="116" ht="15.75" customHeight="1">
      <c r="A116" s="6"/>
      <c r="B116" s="6"/>
      <c r="C116" s="6"/>
      <c r="D116" s="6"/>
      <c r="E116" s="6"/>
      <c r="F116" s="6"/>
      <c r="G116" s="6"/>
      <c r="H116" s="6"/>
      <c r="I116" s="6"/>
      <c r="J116" s="6"/>
      <c r="K116" s="6"/>
      <c r="L116" s="6"/>
      <c r="M116" s="6"/>
    </row>
    <row r="117" ht="15.75" customHeight="1">
      <c r="F117" s="233"/>
      <c r="G117" s="233"/>
      <c r="H117" s="233"/>
      <c r="I117" s="233"/>
      <c r="J117" s="233"/>
      <c r="K117" s="233"/>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
    <mergeCell ref="B2:K3"/>
    <mergeCell ref="D5:E5"/>
    <mergeCell ref="G5:H5"/>
    <mergeCell ref="J5:K5"/>
    <mergeCell ref="D6:H6"/>
    <mergeCell ref="J6:K6"/>
    <mergeCell ref="B8:K8"/>
    <mergeCell ref="F11:H11"/>
    <mergeCell ref="I11:I12"/>
    <mergeCell ref="J11:J12"/>
    <mergeCell ref="K11:K12"/>
    <mergeCell ref="N13:Q13"/>
    <mergeCell ref="B9:C9"/>
    <mergeCell ref="D9:G9"/>
    <mergeCell ref="I9:K9"/>
    <mergeCell ref="B10:C10"/>
    <mergeCell ref="D10:G10"/>
    <mergeCell ref="I10:K10"/>
    <mergeCell ref="B13:K13"/>
    <mergeCell ref="B11: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11:E111"/>
    <mergeCell ref="C112:E112"/>
    <mergeCell ref="C113:E113"/>
    <mergeCell ref="C114:E114"/>
    <mergeCell ref="C115:E115"/>
    <mergeCell ref="C104:E104"/>
    <mergeCell ref="C105:E105"/>
    <mergeCell ref="C106:E106"/>
    <mergeCell ref="C107:E107"/>
    <mergeCell ref="C108:E108"/>
    <mergeCell ref="C109:E109"/>
    <mergeCell ref="C110:E110"/>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s>
  <printOptions/>
  <pageMargins bottom="0.75" footer="0.0" header="0.0" left="0.7" right="0.7" top="0.75"/>
  <pageSetup fitToHeight="0"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3.88"/>
    <col customWidth="1" min="2" max="3" width="15.13"/>
    <col customWidth="1" min="4" max="4" width="21.13"/>
    <col customWidth="1" min="5" max="5" width="12.63"/>
    <col customWidth="1" min="6" max="7" width="17.5"/>
    <col customWidth="1" min="8" max="8" width="25.5"/>
    <col customWidth="1" min="9" max="9" width="3.88"/>
  </cols>
  <sheetData>
    <row r="1" ht="15.75" customHeight="1"/>
    <row r="2" ht="36.75" customHeight="1">
      <c r="B2" s="234" t="s">
        <v>49</v>
      </c>
      <c r="C2" s="235"/>
    </row>
    <row r="3" ht="36.0" customHeight="1">
      <c r="B3" s="236" t="s">
        <v>50</v>
      </c>
      <c r="C3" s="235"/>
    </row>
    <row r="4" ht="15.75" customHeight="1"/>
    <row r="5" ht="15.75" customHeight="1"/>
    <row r="6" ht="15.75" customHeight="1">
      <c r="A6" s="154"/>
      <c r="B6" s="237" t="s">
        <v>51</v>
      </c>
      <c r="C6" s="206"/>
      <c r="D6" s="207"/>
      <c r="E6" s="238"/>
      <c r="F6" s="239" t="s">
        <v>44</v>
      </c>
      <c r="G6" s="160"/>
      <c r="H6" s="161"/>
      <c r="I6" s="154"/>
    </row>
    <row r="7" ht="15.75" customHeight="1">
      <c r="B7" s="240" t="s">
        <v>52</v>
      </c>
      <c r="C7" s="241" t="s">
        <v>53</v>
      </c>
      <c r="D7" s="242" t="s">
        <v>54</v>
      </c>
      <c r="E7" s="238"/>
      <c r="F7" s="243" t="s">
        <v>55</v>
      </c>
      <c r="G7" s="244" t="s">
        <v>27</v>
      </c>
      <c r="H7" s="245" t="s">
        <v>56</v>
      </c>
    </row>
    <row r="8" ht="15.75" customHeight="1">
      <c r="B8" s="246">
        <v>99.5</v>
      </c>
      <c r="C8" s="247">
        <v>100.0</v>
      </c>
      <c r="D8" s="248">
        <v>100.0</v>
      </c>
      <c r="F8" s="249">
        <v>100.0</v>
      </c>
      <c r="G8" s="250" t="s">
        <v>57</v>
      </c>
      <c r="H8" s="251" t="s">
        <v>58</v>
      </c>
    </row>
    <row r="9" ht="15.75" customHeight="1">
      <c r="B9" s="252">
        <v>98.32</v>
      </c>
      <c r="C9" s="253">
        <v>99.49</v>
      </c>
      <c r="D9" s="254">
        <v>99.0</v>
      </c>
      <c r="F9" s="255">
        <v>99.0</v>
      </c>
      <c r="G9" s="256" t="s">
        <v>57</v>
      </c>
      <c r="H9" s="257"/>
    </row>
    <row r="10" ht="15.75" customHeight="1">
      <c r="B10" s="252">
        <v>97.14</v>
      </c>
      <c r="C10" s="253">
        <v>98.31</v>
      </c>
      <c r="D10" s="254">
        <v>98.0</v>
      </c>
      <c r="F10" s="255">
        <v>98.0</v>
      </c>
      <c r="G10" s="256" t="s">
        <v>57</v>
      </c>
      <c r="H10" s="257"/>
    </row>
    <row r="11" ht="15.75" customHeight="1">
      <c r="B11" s="252">
        <v>95.96</v>
      </c>
      <c r="C11" s="253">
        <v>97.13</v>
      </c>
      <c r="D11" s="254">
        <v>97.0</v>
      </c>
      <c r="F11" s="255">
        <v>97.0</v>
      </c>
      <c r="G11" s="256" t="s">
        <v>57</v>
      </c>
      <c r="H11" s="257"/>
    </row>
    <row r="12" ht="15.75" customHeight="1">
      <c r="B12" s="252">
        <v>94.78</v>
      </c>
      <c r="C12" s="253">
        <v>95.95</v>
      </c>
      <c r="D12" s="254">
        <v>96.0</v>
      </c>
      <c r="F12" s="255">
        <v>96.0</v>
      </c>
      <c r="G12" s="256" t="s">
        <v>57</v>
      </c>
      <c r="H12" s="257"/>
    </row>
    <row r="13" ht="15.75" customHeight="1">
      <c r="B13" s="258">
        <v>93.6</v>
      </c>
      <c r="C13" s="253">
        <v>94.77</v>
      </c>
      <c r="D13" s="254">
        <v>95.0</v>
      </c>
      <c r="F13" s="255">
        <v>95.0</v>
      </c>
      <c r="G13" s="256" t="s">
        <v>57</v>
      </c>
      <c r="H13" s="257"/>
    </row>
    <row r="14" ht="15.75" customHeight="1">
      <c r="B14" s="252">
        <v>92.42</v>
      </c>
      <c r="C14" s="253">
        <v>93.59</v>
      </c>
      <c r="D14" s="254">
        <v>94.0</v>
      </c>
      <c r="F14" s="255">
        <v>94.0</v>
      </c>
      <c r="G14" s="256" t="s">
        <v>57</v>
      </c>
      <c r="H14" s="257"/>
    </row>
    <row r="15" ht="15.75" customHeight="1">
      <c r="B15" s="252">
        <v>91.24</v>
      </c>
      <c r="C15" s="253">
        <v>92.41</v>
      </c>
      <c r="D15" s="254">
        <v>93.0</v>
      </c>
      <c r="F15" s="255">
        <v>93.0</v>
      </c>
      <c r="G15" s="256" t="s">
        <v>57</v>
      </c>
      <c r="H15" s="257"/>
    </row>
    <row r="16" ht="15.75" customHeight="1">
      <c r="B16" s="252">
        <v>90.06</v>
      </c>
      <c r="C16" s="253">
        <v>91.23</v>
      </c>
      <c r="D16" s="254">
        <v>92.0</v>
      </c>
      <c r="F16" s="255">
        <v>92.0</v>
      </c>
      <c r="G16" s="256" t="s">
        <v>57</v>
      </c>
      <c r="H16" s="257"/>
    </row>
    <row r="17" ht="15.75" customHeight="1">
      <c r="B17" s="252">
        <v>88.88</v>
      </c>
      <c r="C17" s="253">
        <v>90.05</v>
      </c>
      <c r="D17" s="254">
        <v>91.0</v>
      </c>
      <c r="F17" s="255">
        <v>91.0</v>
      </c>
      <c r="G17" s="256" t="s">
        <v>57</v>
      </c>
      <c r="H17" s="257"/>
    </row>
    <row r="18" ht="15.75" customHeight="1">
      <c r="B18" s="258">
        <v>87.7</v>
      </c>
      <c r="C18" s="253">
        <v>88.87</v>
      </c>
      <c r="D18" s="254">
        <v>90.0</v>
      </c>
      <c r="F18" s="255">
        <v>90.0</v>
      </c>
      <c r="G18" s="256" t="s">
        <v>57</v>
      </c>
      <c r="H18" s="259"/>
    </row>
    <row r="19" ht="15.75" customHeight="1">
      <c r="B19" s="252">
        <v>86.52</v>
      </c>
      <c r="C19" s="253">
        <v>87.69</v>
      </c>
      <c r="D19" s="254">
        <v>89.0</v>
      </c>
      <c r="F19" s="255">
        <v>89.0</v>
      </c>
      <c r="G19" s="256" t="s">
        <v>59</v>
      </c>
      <c r="H19" s="260" t="s">
        <v>60</v>
      </c>
    </row>
    <row r="20" ht="15.75" customHeight="1">
      <c r="B20" s="252">
        <v>85.34</v>
      </c>
      <c r="C20" s="253">
        <v>86.51</v>
      </c>
      <c r="D20" s="254">
        <v>88.0</v>
      </c>
      <c r="F20" s="255">
        <v>88.0</v>
      </c>
      <c r="G20" s="256" t="s">
        <v>59</v>
      </c>
      <c r="H20" s="257"/>
    </row>
    <row r="21" ht="15.75" customHeight="1">
      <c r="B21" s="252">
        <v>84.16</v>
      </c>
      <c r="C21" s="253">
        <v>85.33</v>
      </c>
      <c r="D21" s="254">
        <v>87.0</v>
      </c>
      <c r="F21" s="255">
        <v>87.0</v>
      </c>
      <c r="G21" s="256" t="s">
        <v>59</v>
      </c>
      <c r="H21" s="257"/>
    </row>
    <row r="22" ht="15.75" customHeight="1">
      <c r="B22" s="252">
        <v>82.98</v>
      </c>
      <c r="C22" s="253">
        <v>84.15</v>
      </c>
      <c r="D22" s="254">
        <v>86.0</v>
      </c>
      <c r="F22" s="255">
        <v>86.0</v>
      </c>
      <c r="G22" s="256" t="s">
        <v>59</v>
      </c>
      <c r="H22" s="257"/>
    </row>
    <row r="23" ht="15.75" customHeight="1">
      <c r="B23" s="252">
        <v>81.8</v>
      </c>
      <c r="C23" s="253">
        <v>82.97</v>
      </c>
      <c r="D23" s="254">
        <v>85.0</v>
      </c>
      <c r="F23" s="255">
        <v>85.0</v>
      </c>
      <c r="G23" s="256" t="s">
        <v>59</v>
      </c>
      <c r="H23" s="257"/>
    </row>
    <row r="24" ht="15.75" customHeight="1">
      <c r="B24" s="252">
        <v>80.62</v>
      </c>
      <c r="C24" s="253">
        <v>81.79</v>
      </c>
      <c r="D24" s="254">
        <v>84.0</v>
      </c>
      <c r="F24" s="255">
        <v>84.0</v>
      </c>
      <c r="G24" s="256" t="s">
        <v>59</v>
      </c>
      <c r="H24" s="257"/>
    </row>
    <row r="25" ht="15.75" customHeight="1">
      <c r="B25" s="252">
        <v>79.44</v>
      </c>
      <c r="C25" s="253">
        <v>80.61</v>
      </c>
      <c r="D25" s="254">
        <v>83.0</v>
      </c>
      <c r="F25" s="255">
        <v>83.0</v>
      </c>
      <c r="G25" s="256" t="s">
        <v>59</v>
      </c>
      <c r="H25" s="257"/>
    </row>
    <row r="26" ht="15.75" customHeight="1">
      <c r="B26" s="252">
        <v>78.26</v>
      </c>
      <c r="C26" s="253">
        <v>79.43</v>
      </c>
      <c r="D26" s="254">
        <v>82.0</v>
      </c>
      <c r="F26" s="255">
        <v>82.0</v>
      </c>
      <c r="G26" s="256" t="s">
        <v>59</v>
      </c>
      <c r="H26" s="257"/>
    </row>
    <row r="27" ht="15.75" customHeight="1">
      <c r="B27" s="252">
        <v>77.08</v>
      </c>
      <c r="C27" s="253">
        <v>78.25</v>
      </c>
      <c r="D27" s="254">
        <v>81.0</v>
      </c>
      <c r="F27" s="255">
        <v>81.0</v>
      </c>
      <c r="G27" s="256" t="s">
        <v>59</v>
      </c>
      <c r="H27" s="257"/>
    </row>
    <row r="28" ht="15.75" customHeight="1">
      <c r="B28" s="252">
        <v>75.9</v>
      </c>
      <c r="C28" s="253">
        <v>77.07</v>
      </c>
      <c r="D28" s="254">
        <v>80.0</v>
      </c>
      <c r="F28" s="255">
        <v>80.0</v>
      </c>
      <c r="G28" s="256" t="s">
        <v>59</v>
      </c>
      <c r="H28" s="259"/>
    </row>
    <row r="29" ht="15.75" customHeight="1">
      <c r="B29" s="252">
        <v>74.72</v>
      </c>
      <c r="C29" s="253">
        <v>75.89</v>
      </c>
      <c r="D29" s="254">
        <v>79.0</v>
      </c>
      <c r="F29" s="255">
        <v>79.0</v>
      </c>
      <c r="G29" s="256" t="s">
        <v>61</v>
      </c>
      <c r="H29" s="260" t="s">
        <v>62</v>
      </c>
    </row>
    <row r="30" ht="15.75" customHeight="1">
      <c r="B30" s="252">
        <v>73.54</v>
      </c>
      <c r="C30" s="253">
        <v>74.71</v>
      </c>
      <c r="D30" s="254">
        <v>78.0</v>
      </c>
      <c r="F30" s="255">
        <v>78.0</v>
      </c>
      <c r="G30" s="256" t="s">
        <v>61</v>
      </c>
      <c r="H30" s="257"/>
    </row>
    <row r="31" ht="15.75" customHeight="1">
      <c r="B31" s="252">
        <v>72.36</v>
      </c>
      <c r="C31" s="253">
        <v>73.53</v>
      </c>
      <c r="D31" s="254">
        <v>77.0</v>
      </c>
      <c r="F31" s="255">
        <v>77.0</v>
      </c>
      <c r="G31" s="256" t="s">
        <v>61</v>
      </c>
      <c r="H31" s="257"/>
    </row>
    <row r="32" ht="15.75" customHeight="1">
      <c r="B32" s="252">
        <v>71.18</v>
      </c>
      <c r="C32" s="253">
        <v>72.35</v>
      </c>
      <c r="D32" s="254">
        <v>76.0</v>
      </c>
      <c r="F32" s="255">
        <v>76.0</v>
      </c>
      <c r="G32" s="256" t="s">
        <v>61</v>
      </c>
      <c r="H32" s="257"/>
    </row>
    <row r="33" ht="15.75" customHeight="1">
      <c r="B33" s="261">
        <v>70.0</v>
      </c>
      <c r="C33" s="262">
        <v>71.17</v>
      </c>
      <c r="D33" s="263">
        <v>75.0</v>
      </c>
      <c r="F33" s="255">
        <v>75.0</v>
      </c>
      <c r="G33" s="256" t="s">
        <v>61</v>
      </c>
      <c r="H33" s="259"/>
    </row>
    <row r="34" ht="15.75" customHeight="1">
      <c r="B34" s="252">
        <v>65.34</v>
      </c>
      <c r="C34" s="253">
        <v>69.99</v>
      </c>
      <c r="D34" s="254">
        <v>74.0</v>
      </c>
      <c r="F34" s="255">
        <v>74.0</v>
      </c>
      <c r="G34" s="256" t="s">
        <v>63</v>
      </c>
      <c r="H34" s="260" t="s">
        <v>64</v>
      </c>
    </row>
    <row r="35" ht="15.75" customHeight="1">
      <c r="B35" s="252">
        <v>60.67</v>
      </c>
      <c r="C35" s="253">
        <v>65.33</v>
      </c>
      <c r="D35" s="254">
        <v>73.0</v>
      </c>
      <c r="F35" s="255">
        <v>73.0</v>
      </c>
      <c r="G35" s="256" t="s">
        <v>63</v>
      </c>
      <c r="H35" s="257"/>
    </row>
    <row r="36" ht="15.75" customHeight="1">
      <c r="B36" s="252">
        <v>56.01</v>
      </c>
      <c r="C36" s="253">
        <v>60.66</v>
      </c>
      <c r="D36" s="254">
        <v>72.0</v>
      </c>
      <c r="F36" s="255">
        <v>72.0</v>
      </c>
      <c r="G36" s="256" t="s">
        <v>63</v>
      </c>
      <c r="H36" s="257"/>
    </row>
    <row r="37" ht="15.75" customHeight="1">
      <c r="B37" s="252">
        <v>51.34</v>
      </c>
      <c r="C37" s="264">
        <v>56.0</v>
      </c>
      <c r="D37" s="254">
        <v>71.0</v>
      </c>
      <c r="F37" s="255">
        <v>71.0</v>
      </c>
      <c r="G37" s="256" t="s">
        <v>63</v>
      </c>
      <c r="H37" s="257"/>
    </row>
    <row r="38" ht="15.75" customHeight="1">
      <c r="B38" s="252">
        <v>46.67</v>
      </c>
      <c r="C38" s="253">
        <v>51.33</v>
      </c>
      <c r="D38" s="254">
        <v>70.0</v>
      </c>
      <c r="F38" s="255">
        <v>70.0</v>
      </c>
      <c r="G38" s="256" t="s">
        <v>63</v>
      </c>
      <c r="H38" s="257"/>
    </row>
    <row r="39" ht="15.75" customHeight="1">
      <c r="B39" s="252">
        <v>42.01</v>
      </c>
      <c r="C39" s="253">
        <v>46.66</v>
      </c>
      <c r="D39" s="254">
        <v>69.0</v>
      </c>
      <c r="F39" s="255">
        <v>69.0</v>
      </c>
      <c r="G39" s="256" t="s">
        <v>63</v>
      </c>
      <c r="H39" s="257"/>
    </row>
    <row r="40" ht="15.75" customHeight="1">
      <c r="B40" s="252">
        <v>37.34</v>
      </c>
      <c r="C40" s="264">
        <v>42.0</v>
      </c>
      <c r="D40" s="254">
        <v>68.0</v>
      </c>
      <c r="F40" s="255">
        <v>68.0</v>
      </c>
      <c r="G40" s="256" t="s">
        <v>63</v>
      </c>
      <c r="H40" s="257"/>
    </row>
    <row r="41" ht="15.75" customHeight="1">
      <c r="B41" s="252">
        <v>32.68</v>
      </c>
      <c r="C41" s="253">
        <v>37.33</v>
      </c>
      <c r="D41" s="254">
        <v>67.0</v>
      </c>
      <c r="F41" s="255">
        <v>67.0</v>
      </c>
      <c r="G41" s="256" t="s">
        <v>63</v>
      </c>
      <c r="H41" s="257"/>
    </row>
    <row r="42" ht="15.75" customHeight="1">
      <c r="B42" s="252">
        <v>28.01</v>
      </c>
      <c r="C42" s="253">
        <v>32.67</v>
      </c>
      <c r="D42" s="254">
        <v>66.0</v>
      </c>
      <c r="F42" s="255">
        <v>66.0</v>
      </c>
      <c r="G42" s="256" t="s">
        <v>63</v>
      </c>
      <c r="H42" s="257"/>
    </row>
    <row r="43" ht="15.75" customHeight="1">
      <c r="B43" s="252">
        <v>23.35</v>
      </c>
      <c r="C43" s="264">
        <v>28.0</v>
      </c>
      <c r="D43" s="254">
        <v>65.0</v>
      </c>
      <c r="F43" s="255">
        <v>65.0</v>
      </c>
      <c r="G43" s="256" t="s">
        <v>63</v>
      </c>
      <c r="H43" s="259"/>
    </row>
    <row r="44" ht="15.75" customHeight="1">
      <c r="B44" s="252">
        <v>18.68</v>
      </c>
      <c r="C44" s="253">
        <v>23.34</v>
      </c>
      <c r="D44" s="254">
        <v>64.0</v>
      </c>
      <c r="F44" s="255">
        <v>64.0</v>
      </c>
      <c r="G44" s="256" t="s">
        <v>65</v>
      </c>
      <c r="H44" s="260" t="s">
        <v>66</v>
      </c>
    </row>
    <row r="45" ht="15.75" customHeight="1">
      <c r="B45" s="252">
        <v>14.01</v>
      </c>
      <c r="C45" s="253">
        <v>18.67</v>
      </c>
      <c r="D45" s="254">
        <v>63.0</v>
      </c>
      <c r="F45" s="255">
        <v>63.0</v>
      </c>
      <c r="G45" s="256" t="s">
        <v>65</v>
      </c>
      <c r="H45" s="257"/>
    </row>
    <row r="46" ht="15.75" customHeight="1">
      <c r="B46" s="252">
        <v>9.35</v>
      </c>
      <c r="C46" s="264">
        <v>14.0</v>
      </c>
      <c r="D46" s="254">
        <v>62.0</v>
      </c>
      <c r="F46" s="255">
        <v>62.0</v>
      </c>
      <c r="G46" s="256" t="s">
        <v>65</v>
      </c>
      <c r="H46" s="257"/>
    </row>
    <row r="47" ht="15.75" customHeight="1">
      <c r="B47" s="252">
        <v>4.68</v>
      </c>
      <c r="C47" s="253">
        <v>9.34</v>
      </c>
      <c r="D47" s="254">
        <v>61.0</v>
      </c>
      <c r="F47" s="255">
        <v>61.0</v>
      </c>
      <c r="G47" s="256" t="s">
        <v>65</v>
      </c>
      <c r="H47" s="257"/>
    </row>
    <row r="48" ht="15.75" customHeight="1">
      <c r="B48" s="265">
        <v>0.0</v>
      </c>
      <c r="C48" s="266">
        <v>4.67</v>
      </c>
      <c r="D48" s="267">
        <v>60.0</v>
      </c>
      <c r="F48" s="268">
        <v>60.0</v>
      </c>
      <c r="G48" s="269" t="s">
        <v>65</v>
      </c>
      <c r="H48" s="270"/>
    </row>
    <row r="49" ht="15.75" customHeight="1">
      <c r="B49" s="233"/>
      <c r="C49" s="233"/>
      <c r="D49" s="233"/>
      <c r="G49" s="233"/>
      <c r="H49" s="271"/>
    </row>
    <row r="50" ht="15.75" customHeight="1">
      <c r="B50" s="233"/>
      <c r="C50" s="233"/>
      <c r="D50" s="233"/>
      <c r="G50" s="233"/>
      <c r="H50" s="271"/>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6:D6"/>
    <mergeCell ref="F6:H6"/>
    <mergeCell ref="H8:H18"/>
    <mergeCell ref="H19:H28"/>
    <mergeCell ref="H29:H33"/>
    <mergeCell ref="H34:H43"/>
    <mergeCell ref="H44:H4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2026-08-29T07:40:19Z</dcterms:created>
</cp:coreProperties>
</file>